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ckforallp-my.sharepoint.com/personal/naman_mishra_packfora_com/Documents/Database/"/>
    </mc:Choice>
  </mc:AlternateContent>
  <xr:revisionPtr revIDLastSave="663" documentId="11_F25DC773A252ABDACC1048C9899A67A05BDE58EF" xr6:coauthVersionLast="47" xr6:coauthVersionMax="47" xr10:uidLastSave="{46C8DB1C-1D04-4E21-821E-AB57CFA34003}"/>
  <bookViews>
    <workbookView xWindow="-98" yWindow="-98" windowWidth="21795" windowHeight="12975" xr2:uid="{00000000-000D-0000-FFFF-FFFF00000000}"/>
  </bookViews>
  <sheets>
    <sheet name="Database" sheetId="7" r:id="rId1"/>
    <sheet name="Rigids" sheetId="1" r:id="rId2"/>
    <sheet name="Flexibles" sheetId="2" r:id="rId3"/>
    <sheet name="Tubes" sheetId="3" r:id="rId4"/>
    <sheet name="Corrugates" sheetId="4" r:id="rId5"/>
    <sheet name="Cartons" sheetId="5" r:id="rId6"/>
    <sheet name="PCR" sheetId="6" r:id="rId7"/>
  </sheets>
  <definedNames>
    <definedName name="_xlnm._FilterDatabase" localSheetId="0" hidden="1">Database!$B$3:$F$3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7" l="1"/>
  <c r="H124" i="7"/>
  <c r="H123" i="7"/>
  <c r="H122" i="7"/>
  <c r="H121" i="7"/>
  <c r="H120" i="7"/>
  <c r="G125" i="7"/>
  <c r="G124" i="7"/>
  <c r="G123" i="7"/>
  <c r="G122" i="7"/>
  <c r="G121" i="7"/>
  <c r="G120" i="7"/>
  <c r="F125" i="7"/>
  <c r="F124" i="7"/>
  <c r="F123" i="7"/>
  <c r="F122" i="7"/>
  <c r="F121" i="7"/>
  <c r="F120" i="7"/>
  <c r="H18" i="7"/>
  <c r="H17" i="7"/>
  <c r="H16" i="7"/>
  <c r="H15" i="7"/>
  <c r="H14" i="7"/>
  <c r="G18" i="7"/>
  <c r="G17" i="7"/>
  <c r="G16" i="7"/>
  <c r="G15" i="7"/>
  <c r="G14" i="7"/>
  <c r="F18" i="7"/>
  <c r="F17" i="7"/>
  <c r="F16" i="7"/>
  <c r="F15" i="7"/>
  <c r="F14" i="7"/>
  <c r="D20" i="1"/>
  <c r="D19" i="1"/>
  <c r="D18" i="1"/>
  <c r="D17" i="1"/>
  <c r="D16" i="1"/>
  <c r="H119" i="7"/>
  <c r="H118" i="7"/>
  <c r="H117" i="7"/>
  <c r="H116" i="7"/>
  <c r="H115" i="7"/>
  <c r="H114" i="7"/>
  <c r="H113" i="7"/>
  <c r="G119" i="7"/>
  <c r="G118" i="7"/>
  <c r="G117" i="7"/>
  <c r="G116" i="7"/>
  <c r="G115" i="7"/>
  <c r="G114" i="7"/>
  <c r="G113" i="7"/>
  <c r="F119" i="7"/>
  <c r="F118" i="7"/>
  <c r="F117" i="7"/>
  <c r="F116" i="7"/>
  <c r="F115" i="7"/>
  <c r="F114" i="7"/>
  <c r="F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F112" i="7"/>
  <c r="F111" i="7"/>
  <c r="F110" i="7"/>
  <c r="F109" i="7"/>
  <c r="F108" i="7"/>
  <c r="F107" i="7"/>
  <c r="H178" i="7" l="1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H209" i="7" l="1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3" i="7"/>
  <c r="H9" i="7"/>
  <c r="H8" i="7"/>
  <c r="H7" i="7"/>
  <c r="H6" i="7"/>
  <c r="H5" i="7"/>
  <c r="H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3" i="7"/>
  <c r="G12" i="7"/>
  <c r="G11" i="7"/>
  <c r="G10" i="7"/>
  <c r="G9" i="7"/>
  <c r="G8" i="7"/>
  <c r="G7" i="7"/>
  <c r="G6" i="7"/>
  <c r="G5" i="7"/>
  <c r="G4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46" i="7"/>
  <c r="D9" i="6"/>
  <c r="D6" i="6"/>
  <c r="D5" i="6"/>
  <c r="D8" i="6"/>
  <c r="D7" i="6"/>
  <c r="B24" i="6"/>
  <c r="D10" i="6" l="1"/>
  <c r="L22" i="3" l="1"/>
  <c r="L21" i="3"/>
  <c r="E21" i="3"/>
  <c r="L20" i="3"/>
  <c r="E20" i="3"/>
  <c r="E16" i="3"/>
  <c r="E15" i="3"/>
  <c r="E18" i="3" s="1"/>
  <c r="E14" i="3"/>
  <c r="E17" i="3" s="1"/>
  <c r="I12" i="3"/>
  <c r="E12" i="3"/>
  <c r="H12" i="3" s="1"/>
  <c r="I11" i="3"/>
  <c r="E11" i="3"/>
  <c r="H11" i="3" s="1"/>
  <c r="I10" i="3"/>
  <c r="E10" i="3"/>
  <c r="H10" i="3" s="1"/>
  <c r="I9" i="3"/>
  <c r="H9" i="3"/>
  <c r="I8" i="3"/>
  <c r="E8" i="3"/>
  <c r="H8" i="3" s="1"/>
  <c r="I7" i="3"/>
  <c r="H7" i="3"/>
  <c r="I6" i="3"/>
  <c r="E6" i="3"/>
  <c r="H6" i="3" s="1"/>
  <c r="I5" i="3"/>
  <c r="E5" i="3"/>
  <c r="H5" i="3" s="1"/>
  <c r="I57" i="2" l="1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70" i="1" l="1"/>
  <c r="D15" i="1" s="1"/>
  <c r="F13" i="7" s="1"/>
  <c r="D55" i="1"/>
  <c r="F53" i="7" s="1"/>
  <c r="D52" i="1" l="1"/>
  <c r="F50" i="7" s="1"/>
  <c r="D51" i="1"/>
  <c r="F49" i="7" s="1"/>
  <c r="D50" i="1"/>
  <c r="F48" i="7" s="1"/>
  <c r="D14" i="1"/>
  <c r="F12" i="7" s="1"/>
  <c r="D54" i="1"/>
  <c r="F52" i="7" s="1"/>
  <c r="D53" i="1"/>
  <c r="F51" i="7" s="1"/>
  <c r="D31" i="1"/>
  <c r="F29" i="7" s="1"/>
  <c r="D32" i="1"/>
  <c r="F30" i="7" s="1"/>
  <c r="D33" i="1"/>
  <c r="F31" i="7" s="1"/>
  <c r="D34" i="1"/>
  <c r="F32" i="7" s="1"/>
  <c r="D37" i="1"/>
  <c r="F35" i="7" s="1"/>
  <c r="D39" i="1"/>
  <c r="F37" i="7" s="1"/>
  <c r="D40" i="1"/>
  <c r="F38" i="7" s="1"/>
  <c r="D21" i="1"/>
  <c r="F19" i="7" s="1"/>
  <c r="D41" i="1"/>
  <c r="F39" i="7" s="1"/>
  <c r="D22" i="1"/>
  <c r="F20" i="7" s="1"/>
  <c r="D42" i="1"/>
  <c r="F40" i="7" s="1"/>
  <c r="D35" i="1"/>
  <c r="F33" i="7" s="1"/>
  <c r="D36" i="1"/>
  <c r="F34" i="7" s="1"/>
  <c r="D38" i="1"/>
  <c r="F36" i="7" s="1"/>
  <c r="D23" i="1"/>
  <c r="F21" i="7" s="1"/>
  <c r="D43" i="1"/>
  <c r="F41" i="7" s="1"/>
  <c r="D24" i="1"/>
  <c r="F22" i="7" s="1"/>
  <c r="D44" i="1"/>
  <c r="F42" i="7" s="1"/>
  <c r="D25" i="1"/>
  <c r="F23" i="7" s="1"/>
  <c r="D45" i="1"/>
  <c r="F43" i="7" s="1"/>
  <c r="D26" i="1"/>
  <c r="F24" i="7" s="1"/>
  <c r="D46" i="1"/>
  <c r="F44" i="7" s="1"/>
  <c r="D27" i="1"/>
  <c r="F25" i="7" s="1"/>
  <c r="D47" i="1"/>
  <c r="F45" i="7" s="1"/>
  <c r="D28" i="1"/>
  <c r="F26" i="7" s="1"/>
  <c r="D29" i="1"/>
  <c r="F27" i="7" s="1"/>
  <c r="D30" i="1"/>
  <c r="F28" i="7" s="1"/>
  <c r="D49" i="1"/>
  <c r="F47" i="7" s="1"/>
  <c r="D6" i="1"/>
  <c r="F4" i="7" s="1"/>
  <c r="D8" i="1"/>
  <c r="F6" i="7" s="1"/>
  <c r="D10" i="1"/>
  <c r="F8" i="7" s="1"/>
  <c r="D11" i="1"/>
  <c r="F9" i="7" s="1"/>
  <c r="D7" i="1"/>
  <c r="F5" i="7" s="1"/>
  <c r="D9" i="1"/>
  <c r="F7" i="7" s="1"/>
  <c r="D12" i="1"/>
  <c r="F10" i="7" s="1"/>
  <c r="D13" i="1"/>
  <c r="F11" i="7" s="1"/>
  <c r="E14" i="1" l="1"/>
  <c r="H12" i="7" s="1"/>
  <c r="E13" i="1"/>
  <c r="H11" i="7" s="1"/>
  <c r="E12" i="1"/>
  <c r="H10" i="7" s="1"/>
</calcChain>
</file>

<file path=xl/sharedStrings.xml><?xml version="1.0" encoding="utf-8"?>
<sst xmlns="http://schemas.openxmlformats.org/spreadsheetml/2006/main" count="1534" uniqueCount="366">
  <si>
    <t>EBM</t>
  </si>
  <si>
    <t>Machine Details</t>
  </si>
  <si>
    <t>Type</t>
  </si>
  <si>
    <t>Make</t>
  </si>
  <si>
    <t>Model</t>
  </si>
  <si>
    <t>Power Consumption KWH</t>
  </si>
  <si>
    <t>Speed</t>
  </si>
  <si>
    <t>Machine Footprint SQM</t>
  </si>
  <si>
    <t>Jomar</t>
  </si>
  <si>
    <t>Jomar 65</t>
  </si>
  <si>
    <t>Jomar 135</t>
  </si>
  <si>
    <t>Uniloy</t>
  </si>
  <si>
    <t>Sika</t>
  </si>
  <si>
    <t>Speedex</t>
  </si>
  <si>
    <t>Magic</t>
  </si>
  <si>
    <t>Magic 10</t>
  </si>
  <si>
    <t>BMU</t>
  </si>
  <si>
    <t>BMU 70</t>
  </si>
  <si>
    <t>BMU 100</t>
  </si>
  <si>
    <t>SEB</t>
  </si>
  <si>
    <t>SEB 820</t>
  </si>
  <si>
    <t>Break Up of charges on Machine Imported</t>
  </si>
  <si>
    <t>** Import Duty not added as usually it is allowable as deduction from Local authorities for business development</t>
  </si>
  <si>
    <t>Import Duty</t>
  </si>
  <si>
    <t>International Freight</t>
  </si>
  <si>
    <t>Insurance</t>
  </si>
  <si>
    <t>Shipping line &amp; Port charges</t>
  </si>
  <si>
    <t>Detention charges</t>
  </si>
  <si>
    <t>CHA charegs</t>
  </si>
  <si>
    <t>Local Freight</t>
  </si>
  <si>
    <t>Installation &amp; Commissioning</t>
  </si>
  <si>
    <t>Bank Charges</t>
  </si>
  <si>
    <t>Total</t>
  </si>
  <si>
    <t>Demag</t>
  </si>
  <si>
    <t>Demag 150 Tonne</t>
  </si>
  <si>
    <t>Demag 250 Tonne</t>
  </si>
  <si>
    <t>Demag 300 Tonne</t>
  </si>
  <si>
    <t>Demag 350 Tonne</t>
  </si>
  <si>
    <t>Demag 400 Tonne</t>
  </si>
  <si>
    <t>Engel</t>
  </si>
  <si>
    <t>Engel Victory 220</t>
  </si>
  <si>
    <t>Engel Victory 300</t>
  </si>
  <si>
    <t>Engel Victory 400</t>
  </si>
  <si>
    <t>Fanuc</t>
  </si>
  <si>
    <t>Fanuc 150 Tonne</t>
  </si>
  <si>
    <t>Fanuc 250 Tonne</t>
  </si>
  <si>
    <t>Fanuc 300 Tonne</t>
  </si>
  <si>
    <t>Fanuc 350 Tonne</t>
  </si>
  <si>
    <t>Fanuc 400 Tonne</t>
  </si>
  <si>
    <t>Ferromatik</t>
  </si>
  <si>
    <t>Ferromatik K-TEC 155 Tonne</t>
  </si>
  <si>
    <t>Ferromatik K-TEC 200 Tonne</t>
  </si>
  <si>
    <t>Ferromatik K-TEC 250 Tonne</t>
  </si>
  <si>
    <t>Ferromatik K-TEC 275 Tonne</t>
  </si>
  <si>
    <t>Ferromatik K-TEC 320 Tonne</t>
  </si>
  <si>
    <t>Ferromatik K-TEC 350 Tonne</t>
  </si>
  <si>
    <t>Ferromatik K-TEC 400 Tonne</t>
  </si>
  <si>
    <t>Ferromatik K-TEC 450 Tonne</t>
  </si>
  <si>
    <t>Husky</t>
  </si>
  <si>
    <t>Husky 150 Tonne</t>
  </si>
  <si>
    <t>Husky 200 Tonne</t>
  </si>
  <si>
    <t>Husky 250 Tonne</t>
  </si>
  <si>
    <t>Husky 300 Tonne</t>
  </si>
  <si>
    <t>Husky 350 Tonne</t>
  </si>
  <si>
    <t>Husky 400 Tonne</t>
  </si>
  <si>
    <t>Robotic Arms (Cobot)</t>
  </si>
  <si>
    <t>Pick &amp; Place</t>
  </si>
  <si>
    <t>Injection Moulding</t>
  </si>
  <si>
    <t>ASB</t>
  </si>
  <si>
    <t>ASB 70 DPH V4</t>
  </si>
  <si>
    <t>ASB 70 DPW</t>
  </si>
  <si>
    <t>Robotic Arm</t>
  </si>
  <si>
    <t>Husky/ Demag/ Netstal</t>
  </si>
  <si>
    <t>Sidel</t>
  </si>
  <si>
    <t>Sidel EVO Blow SR 1/2 PH</t>
  </si>
  <si>
    <t>ISBM 1/1.5/2</t>
  </si>
  <si>
    <t>Netstal  150 Ton</t>
  </si>
  <si>
    <t>Netstal 180 Ton</t>
  </si>
  <si>
    <t>Netstal  250 Ton</t>
  </si>
  <si>
    <t>Netstal  350 Ton</t>
  </si>
  <si>
    <t>Machine Cost €</t>
  </si>
  <si>
    <t>Line Speed (Mtr/ Min)</t>
  </si>
  <si>
    <t>Machine Width (Mtr)</t>
  </si>
  <si>
    <t>Line Speed at start (Mtr/ Min)</t>
  </si>
  <si>
    <t>Gravure</t>
  </si>
  <si>
    <t>Bobst Lemanic Delta</t>
  </si>
  <si>
    <t>Bobst Lemanic Rivera</t>
  </si>
  <si>
    <t>Bobst RS6003 Expert</t>
  </si>
  <si>
    <t>Bobst RS5003 Expert</t>
  </si>
  <si>
    <t>Bobst Expert MW 60 I 80</t>
  </si>
  <si>
    <t>Bobst Expert GP 500</t>
  </si>
  <si>
    <t>Bobst Expert GP 700</t>
  </si>
  <si>
    <t>Miraflex 70+ M</t>
  </si>
  <si>
    <t>Miraflex 70+ L</t>
  </si>
  <si>
    <t>Cerutti R982</t>
  </si>
  <si>
    <t>Huitong HD-Type ELS</t>
  </si>
  <si>
    <t>Huitong ZD-Type ELS</t>
  </si>
  <si>
    <t>Huitong GD-Type ELS</t>
  </si>
  <si>
    <t>Huitong MD-Type ELS</t>
  </si>
  <si>
    <t>Solomark 6450</t>
  </si>
  <si>
    <t>Solomark 6400</t>
  </si>
  <si>
    <t>DCM BIVA</t>
  </si>
  <si>
    <t>Flexo</t>
  </si>
  <si>
    <t>Novoflex II M</t>
  </si>
  <si>
    <t>Novoflex II L</t>
  </si>
  <si>
    <t>Vistaflex CL</t>
  </si>
  <si>
    <t>Vistaflex CX</t>
  </si>
  <si>
    <t>Miraflex</t>
  </si>
  <si>
    <t>Vision CI</t>
  </si>
  <si>
    <t>Expert CI</t>
  </si>
  <si>
    <t>Master CI</t>
  </si>
  <si>
    <t>Tandem Extrusion</t>
  </si>
  <si>
    <t>Karlville</t>
  </si>
  <si>
    <t>Lamination</t>
  </si>
  <si>
    <t>Nova SX 550</t>
  </si>
  <si>
    <t>Nova MW</t>
  </si>
  <si>
    <t>Nova D 800</t>
  </si>
  <si>
    <t>Vision S 850</t>
  </si>
  <si>
    <t>Vision DA 800</t>
  </si>
  <si>
    <t>Sinstar WRJF i9 1000A</t>
  </si>
  <si>
    <t>Sinstar WRJF i9 1300A</t>
  </si>
  <si>
    <t>Sinstar WRJF i9 1600A</t>
  </si>
  <si>
    <t>Master S 1000</t>
  </si>
  <si>
    <t>Master D 1000</t>
  </si>
  <si>
    <t>Coating</t>
  </si>
  <si>
    <t>NOVA CO 800 - Coater</t>
  </si>
  <si>
    <t>VISION CO 850 - Coater</t>
  </si>
  <si>
    <t>EXPERT CO 1000 Coater</t>
  </si>
  <si>
    <t>MASTER CO 5000 Coater</t>
  </si>
  <si>
    <t>MASTER CO 8000 Coater</t>
  </si>
  <si>
    <t>Slitting</t>
  </si>
  <si>
    <t>Acrostar</t>
  </si>
  <si>
    <t>TitanSlitter ER610</t>
  </si>
  <si>
    <t>TitanSlitter ER610-DT</t>
  </si>
  <si>
    <t xml:space="preserve">TitanSlitter SR800 </t>
  </si>
  <si>
    <t>TitanSlitter SR9-DS</t>
  </si>
  <si>
    <t>TitanSlitter SR9-DT</t>
  </si>
  <si>
    <t>Karlville Compact</t>
  </si>
  <si>
    <t>Karlville Classic Pro</t>
  </si>
  <si>
    <t>Karlville Ultra</t>
  </si>
  <si>
    <t>Karlville Ultra Turret</t>
  </si>
  <si>
    <t>Pouching</t>
  </si>
  <si>
    <t>Totani BH-60DLLSC</t>
  </si>
  <si>
    <t>Yousheng</t>
  </si>
  <si>
    <t>Bobst</t>
  </si>
  <si>
    <t xml:space="preserve">Miraflex </t>
  </si>
  <si>
    <t>Cerutti</t>
  </si>
  <si>
    <t>Huitong</t>
  </si>
  <si>
    <t xml:space="preserve">Solomark </t>
  </si>
  <si>
    <t xml:space="preserve">DCM </t>
  </si>
  <si>
    <t xml:space="preserve">Novoflex </t>
  </si>
  <si>
    <t xml:space="preserve">Vistaflex </t>
  </si>
  <si>
    <t xml:space="preserve">Nova </t>
  </si>
  <si>
    <t xml:space="preserve">Vision </t>
  </si>
  <si>
    <t xml:space="preserve">Sinstar </t>
  </si>
  <si>
    <t>Master</t>
  </si>
  <si>
    <t>Expert</t>
  </si>
  <si>
    <t>TitanSlitter</t>
  </si>
  <si>
    <t xml:space="preserve">Karlville </t>
  </si>
  <si>
    <t xml:space="preserve">Totani </t>
  </si>
  <si>
    <t>Machine Details:</t>
  </si>
  <si>
    <t>Tech</t>
  </si>
  <si>
    <t>Line Speed 
Tubes/Min</t>
  </si>
  <si>
    <t>Machine Width (mm)</t>
  </si>
  <si>
    <t>Changeparts €</t>
  </si>
  <si>
    <t>Capping Changeparts €</t>
  </si>
  <si>
    <t>Energy KWH</t>
  </si>
  <si>
    <t>Annual Capacity</t>
  </si>
  <si>
    <t>Tubing Lines</t>
  </si>
  <si>
    <t>Compression Molding</t>
  </si>
  <si>
    <t>Packsys</t>
  </si>
  <si>
    <t>Focus 40</t>
  </si>
  <si>
    <t>Focus 80</t>
  </si>
  <si>
    <t>Mini 120</t>
  </si>
  <si>
    <t>Mini 300</t>
  </si>
  <si>
    <t>Injection Molding</t>
  </si>
  <si>
    <t>STS</t>
  </si>
  <si>
    <t>AISA</t>
  </si>
  <si>
    <t>SAESA 100</t>
  </si>
  <si>
    <t>SAESA 120</t>
  </si>
  <si>
    <t>SAESA 240</t>
  </si>
  <si>
    <t>NA</t>
  </si>
  <si>
    <t>Milacron</t>
  </si>
  <si>
    <t>Milacron 180 T</t>
  </si>
  <si>
    <t>Milacron 250 T</t>
  </si>
  <si>
    <t>Milacron 350 T</t>
  </si>
  <si>
    <t>Elaxis Demag</t>
  </si>
  <si>
    <t>Elaxis 180 Ton</t>
  </si>
  <si>
    <t>Elaxis 250 Ton</t>
  </si>
  <si>
    <t>Printing Lines</t>
  </si>
  <si>
    <t>Nilpeter</t>
  </si>
  <si>
    <t>FA Line</t>
  </si>
  <si>
    <t>Gallus</t>
  </si>
  <si>
    <t>ECS 340</t>
  </si>
  <si>
    <t>Corrugation Line</t>
  </si>
  <si>
    <t>BHS</t>
  </si>
  <si>
    <t>HSIEH HSU</t>
  </si>
  <si>
    <t>TCY</t>
  </si>
  <si>
    <t>TCY QSS 250</t>
  </si>
  <si>
    <t>TCY QSS 300</t>
  </si>
  <si>
    <t>TCY QSS 350</t>
  </si>
  <si>
    <t>BHS Eco Line</t>
  </si>
  <si>
    <t>BHS S line</t>
  </si>
  <si>
    <t>Fosver</t>
  </si>
  <si>
    <t>Fosver S line</t>
  </si>
  <si>
    <t>Fosver Pro Line</t>
  </si>
  <si>
    <t>Mitsubishi</t>
  </si>
  <si>
    <t>Mitsubishi SH 400</t>
  </si>
  <si>
    <t>Printing Machine</t>
  </si>
  <si>
    <t xml:space="preserve">TCY </t>
  </si>
  <si>
    <t>TCY 6 PA + RDC</t>
  </si>
  <si>
    <t>Langston</t>
  </si>
  <si>
    <t>Langston 50x113 (2C)</t>
  </si>
  <si>
    <t>Sunrise</t>
  </si>
  <si>
    <t>SUNRISE PACIFIC 1227</t>
  </si>
  <si>
    <t>JHF</t>
  </si>
  <si>
    <t>JHF 428 +RDC</t>
  </si>
  <si>
    <t>JHF 236 Offline</t>
  </si>
  <si>
    <t>JHF RD 408</t>
  </si>
  <si>
    <t>Rotary Die Cutter</t>
  </si>
  <si>
    <t>Lian Tee</t>
  </si>
  <si>
    <t>Lian Tiee PS-1836 +RDC</t>
  </si>
  <si>
    <t>Lian Tiee PS-1628 +RDC</t>
  </si>
  <si>
    <t>TCY 8 PA + RDC</t>
  </si>
  <si>
    <t xml:space="preserve"> TCY 11 PA Inline</t>
  </si>
  <si>
    <t>Ward</t>
  </si>
  <si>
    <t>Ward 66x100</t>
  </si>
  <si>
    <t>Titan</t>
  </si>
  <si>
    <t>Titan 63x104  (4C)</t>
  </si>
  <si>
    <t>Ward 63x120  (3C)</t>
  </si>
  <si>
    <t>Bobst 1628 DRO NT RS</t>
  </si>
  <si>
    <t>Bobst 1228 NT RS</t>
  </si>
  <si>
    <t>MitsubEvol 37x100 (4C)</t>
  </si>
  <si>
    <t>MitsubEvol (34/84)  (4C)</t>
  </si>
  <si>
    <t>Flat Bed Die Cutter</t>
  </si>
  <si>
    <t>BOBst</t>
  </si>
  <si>
    <t>BOBst Mastercut 1.7/2.1</t>
  </si>
  <si>
    <t>BOBST Eterna E cut 1060</t>
  </si>
  <si>
    <t>Emba 245 Ultima</t>
  </si>
  <si>
    <t>Mitsubishi MTR - 1600</t>
  </si>
  <si>
    <t>Former &amp; Gluer</t>
  </si>
  <si>
    <t>Bobst/BGM</t>
  </si>
  <si>
    <t>BOBST FFG 1632 | 1636 NT RS</t>
  </si>
  <si>
    <t>Evol 84 (4C)</t>
  </si>
  <si>
    <t>Evol 100 (4C)</t>
  </si>
  <si>
    <t>Evol 115 (4C)</t>
  </si>
  <si>
    <t>Details</t>
  </si>
  <si>
    <t>Machine Model</t>
  </si>
  <si>
    <t>Cost Per Machine €</t>
  </si>
  <si>
    <t>Line Speed (Sheets/ Hour)</t>
  </si>
  <si>
    <t>Power Consumption (KwH)</t>
  </si>
  <si>
    <t>Printing</t>
  </si>
  <si>
    <t>KBA 8000</t>
  </si>
  <si>
    <t>Heidelberg Speedmaster SM 52</t>
  </si>
  <si>
    <t>Heidelberg Speedmaster SM 74 / XL 75</t>
  </si>
  <si>
    <t>Heidelberg Speedmaster SM 102 / XL 106</t>
  </si>
  <si>
    <t>KBA Rapida 75</t>
  </si>
  <si>
    <t>KBA Rapida 106</t>
  </si>
  <si>
    <t>Komori Lithrone G / GL series</t>
  </si>
  <si>
    <t>Manroland R700 series</t>
  </si>
  <si>
    <t>Manroland R900 series</t>
  </si>
  <si>
    <t>Mitsubishi Diamond / high-quality sheetfed</t>
  </si>
  <si>
    <t>Spot Varnish</t>
  </si>
  <si>
    <t>Unison</t>
  </si>
  <si>
    <t xml:space="preserve">MGI JETvarnish 3D	</t>
  </si>
  <si>
    <t xml:space="preserve">Scodix Scodix Ultra / Scodix SENSE	</t>
  </si>
  <si>
    <t xml:space="preserve">Heidelberg Speedmaster	</t>
  </si>
  <si>
    <t>Komori</t>
  </si>
  <si>
    <t xml:space="preserve">KBA Rapida	</t>
  </si>
  <si>
    <t>2,00,000</t>
  </si>
  <si>
    <t>Hot Foiling</t>
  </si>
  <si>
    <t>Hot Foil Machine</t>
  </si>
  <si>
    <t>Lamination Machine</t>
  </si>
  <si>
    <t>Kompac KwikPrint / EZ Koat</t>
  </si>
  <si>
    <t xml:space="preserve">Billhöfer Eco 66, Eco 76, Eco	</t>
  </si>
  <si>
    <t>Lamina Lamina Blackline, SA, FA, FA Blackline</t>
  </si>
  <si>
    <t>Tunkers Variowell / Sheetmaster</t>
  </si>
  <si>
    <t>Billhöfer Wet-Lam series</t>
  </si>
  <si>
    <t>JMD Machinery FMZ Series</t>
  </si>
  <si>
    <t>Hongming HM Series</t>
  </si>
  <si>
    <t>Jiawei JW Series</t>
  </si>
  <si>
    <t>Wanlian Machinery WL Series</t>
  </si>
  <si>
    <t>Jialite YFML Series</t>
  </si>
  <si>
    <t>Creasing &amp; Blanking</t>
  </si>
  <si>
    <t>Bobst Mastercut</t>
  </si>
  <si>
    <t>Masterwork (China) Ecocut 170CS</t>
  </si>
  <si>
    <t>Folder - Gluer</t>
  </si>
  <si>
    <t>Bobst Masterfold</t>
  </si>
  <si>
    <t>Output Kg/Hr</t>
  </si>
  <si>
    <t>Extrusion Line</t>
  </si>
  <si>
    <t>Erema</t>
  </si>
  <si>
    <t>* Including SSP line</t>
  </si>
  <si>
    <t>Starlinger recoSTAR PET 165 art</t>
  </si>
  <si>
    <t>Washing - Hot Wash / Drying</t>
  </si>
  <si>
    <t>Sorema</t>
  </si>
  <si>
    <t>* Label &amp; Cap Removal Machine</t>
  </si>
  <si>
    <t>Sorting Waste Plastic</t>
  </si>
  <si>
    <t>Ishinta</t>
  </si>
  <si>
    <t>* 3 Sets of Machines</t>
  </si>
  <si>
    <t>AI Waste Analyser</t>
  </si>
  <si>
    <t>Grey Parrot</t>
  </si>
  <si>
    <t>* to Match the extruder capacity as it has no capacity as such; 5 Analyser for the entire line</t>
  </si>
  <si>
    <t>Cost  €</t>
  </si>
  <si>
    <t>Rigids</t>
  </si>
  <si>
    <t>Process</t>
  </si>
  <si>
    <t>Flexibles</t>
  </si>
  <si>
    <t>Tubes</t>
  </si>
  <si>
    <t>Corrugates</t>
  </si>
  <si>
    <t>Cartons</t>
  </si>
  <si>
    <t xml:space="preserve">KBA </t>
  </si>
  <si>
    <t xml:space="preserve">Heidelberg Speedmaster </t>
  </si>
  <si>
    <t xml:space="preserve">Komori Lithrone </t>
  </si>
  <si>
    <t xml:space="preserve">Manroland </t>
  </si>
  <si>
    <t xml:space="preserve">MGI </t>
  </si>
  <si>
    <t>Scodix Scodix</t>
  </si>
  <si>
    <t xml:space="preserve">Billhöfer Eco </t>
  </si>
  <si>
    <t>Masterwork (China)</t>
  </si>
  <si>
    <t xml:space="preserve">Jialite </t>
  </si>
  <si>
    <t xml:space="preserve">Wanlian Machinery </t>
  </si>
  <si>
    <t xml:space="preserve">Jiawei </t>
  </si>
  <si>
    <t xml:space="preserve">Hongming </t>
  </si>
  <si>
    <t xml:space="preserve">JMD Machinery </t>
  </si>
  <si>
    <t xml:space="preserve">Billhöfer </t>
  </si>
  <si>
    <t>PCR</t>
  </si>
  <si>
    <t xml:space="preserve">Machine Cost </t>
  </si>
  <si>
    <t>In €</t>
  </si>
  <si>
    <t>Power Consumption</t>
  </si>
  <si>
    <t>Category</t>
  </si>
  <si>
    <t>Galaxy GS 24 TSG</t>
  </si>
  <si>
    <t>Galaxy</t>
  </si>
  <si>
    <t>Karlville ST - 1L</t>
  </si>
  <si>
    <t>Spaldopack SI - 60</t>
  </si>
  <si>
    <t>Totani ST - 30</t>
  </si>
  <si>
    <t>Galaxy GSF-12</t>
  </si>
  <si>
    <t>Haosen HS-XZD-1800C</t>
  </si>
  <si>
    <t>Spaldopack</t>
  </si>
  <si>
    <t>Totani</t>
  </si>
  <si>
    <t>Haosen</t>
  </si>
  <si>
    <t>Spouting</t>
  </si>
  <si>
    <t>Blown Film Line</t>
  </si>
  <si>
    <t>Reifenhauser</t>
  </si>
  <si>
    <t>Reifenhauser 3 Layer</t>
  </si>
  <si>
    <t>Reifenhauser 5 Layer</t>
  </si>
  <si>
    <t>Reifenhauser 7 Layer</t>
  </si>
  <si>
    <t>Windmoller &amp; Holscher</t>
  </si>
  <si>
    <t>Windmoller &amp; Holscher 3 layer</t>
  </si>
  <si>
    <t>Windmoller &amp; Holscher 5 layer</t>
  </si>
  <si>
    <t>Bandera</t>
  </si>
  <si>
    <t>Bandera 3 Layer</t>
  </si>
  <si>
    <t>Bandera 5 Layer</t>
  </si>
  <si>
    <t>Bekum</t>
  </si>
  <si>
    <t>Bekum (dual-head / shuttle &amp; rotary EBM family)</t>
  </si>
  <si>
    <t>Kautex</t>
  </si>
  <si>
    <t>Kautex / Nissei Kautex (dual-head rotary / shuttle)</t>
  </si>
  <si>
    <t>Uniloy (rotary / shuttle EBM families)</t>
  </si>
  <si>
    <t>Jomar (shuttle / continuous EBM families)</t>
  </si>
  <si>
    <t xml:space="preserve"> Zhangjiagang / Wuxi / Changsheng</t>
  </si>
  <si>
    <t>Chinese export OEM — Zhangjiagang / Wuxi / Changsheng (dual-head export models)</t>
  </si>
  <si>
    <t>Glueing</t>
  </si>
  <si>
    <t>Karlville K2</t>
  </si>
  <si>
    <t>Karlville K5</t>
  </si>
  <si>
    <t>Fuji</t>
  </si>
  <si>
    <t>Fuji Seal</t>
  </si>
  <si>
    <t>Galaxy Packtech— GSF</t>
  </si>
  <si>
    <t>Kegu / Sunfeng</t>
  </si>
  <si>
    <t>KETE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</si>
</sst>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_(* #,##0.0_);_(* \(#,##0.0\);_(* &quot;-&quot;??_);_(@_)"/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0" fontId="3" fillId="2" borderId="1" xfId="3" applyNumberFormat="1" applyFont="1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165" fontId="0" fillId="2" borderId="1" xfId="2" applyNumberFormat="1" applyFont="1" applyFill="1" applyBorder="1"/>
    <xf numFmtId="165" fontId="0" fillId="2" borderId="1" xfId="2" applyNumberFormat="1" applyFont="1" applyFill="1" applyBorder="1" applyAlignment="1">
      <alignment horizontal="right"/>
    </xf>
    <xf numFmtId="166" fontId="0" fillId="2" borderId="1" xfId="2" applyNumberFormat="1" applyFont="1" applyFill="1" applyBorder="1"/>
    <xf numFmtId="167" fontId="0" fillId="2" borderId="1" xfId="4" applyNumberFormat="1" applyFont="1" applyFill="1" applyBorder="1"/>
    <xf numFmtId="166" fontId="0" fillId="0" borderId="0" xfId="0" applyNumberFormat="1"/>
    <xf numFmtId="0" fontId="1" fillId="0" borderId="0" xfId="1" applyFont="1"/>
    <xf numFmtId="0" fontId="0" fillId="0" borderId="0" xfId="1" applyFont="1"/>
    <xf numFmtId="0" fontId="1" fillId="3" borderId="1" xfId="1" applyFont="1" applyFill="1" applyBorder="1"/>
    <xf numFmtId="0" fontId="0" fillId="0" borderId="1" xfId="1" applyFont="1" applyBorder="1"/>
    <xf numFmtId="10" fontId="0" fillId="2" borderId="1" xfId="1" applyNumberFormat="1" applyFont="1" applyFill="1" applyBorder="1"/>
    <xf numFmtId="0" fontId="1" fillId="0" borderId="1" xfId="1" applyFont="1" applyBorder="1"/>
    <xf numFmtId="10" fontId="1" fillId="2" borderId="1" xfId="3" applyNumberFormat="1" applyFont="1" applyFill="1" applyBorder="1" applyAlignment="1"/>
    <xf numFmtId="0" fontId="5" fillId="0" borderId="0" xfId="0" applyFont="1"/>
    <xf numFmtId="167" fontId="6" fillId="2" borderId="1" xfId="4" applyNumberFormat="1" applyFont="1" applyFill="1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2" fillId="0" borderId="0" xfId="0" applyFont="1"/>
    <xf numFmtId="10" fontId="2" fillId="2" borderId="1" xfId="0" applyNumberFormat="1" applyFont="1" applyFill="1" applyBorder="1"/>
    <xf numFmtId="0" fontId="3" fillId="0" borderId="1" xfId="0" applyFont="1" applyBorder="1"/>
    <xf numFmtId="167" fontId="0" fillId="0" borderId="0" xfId="4" applyNumberFormat="1" applyFont="1" applyAlignment="1">
      <alignment horizontal="right"/>
    </xf>
    <xf numFmtId="167" fontId="1" fillId="3" borderId="1" xfId="4" applyNumberFormat="1" applyFont="1" applyFill="1" applyBorder="1" applyAlignment="1">
      <alignment horizontal="right"/>
    </xf>
    <xf numFmtId="167" fontId="1" fillId="3" borderId="1" xfId="4" applyNumberFormat="1" applyFont="1" applyFill="1" applyBorder="1" applyAlignment="1">
      <alignment horizontal="center"/>
    </xf>
    <xf numFmtId="167" fontId="0" fillId="0" borderId="1" xfId="4" applyNumberFormat="1" applyFont="1" applyBorder="1" applyAlignment="1">
      <alignment horizontal="right"/>
    </xf>
    <xf numFmtId="167" fontId="0" fillId="0" borderId="1" xfId="4" applyNumberFormat="1" applyFont="1" applyFill="1" applyBorder="1" applyAlignment="1">
      <alignment horizontal="right"/>
    </xf>
    <xf numFmtId="168" fontId="0" fillId="0" borderId="1" xfId="0" applyNumberFormat="1" applyBorder="1"/>
    <xf numFmtId="0" fontId="0" fillId="4" borderId="1" xfId="0" applyFill="1" applyBorder="1"/>
    <xf numFmtId="0" fontId="1" fillId="3" borderId="3" xfId="1" applyFont="1" applyFill="1" applyBorder="1"/>
    <xf numFmtId="0" fontId="0" fillId="0" borderId="2" xfId="1" applyFont="1" applyBorder="1"/>
    <xf numFmtId="165" fontId="0" fillId="2" borderId="2" xfId="2" applyNumberFormat="1" applyFont="1" applyFill="1" applyBorder="1"/>
    <xf numFmtId="0" fontId="0" fillId="0" borderId="2" xfId="0" applyBorder="1"/>
  </cellXfs>
  <cellStyles count="5">
    <cellStyle name="Comma" xfId="4" builtinId="3"/>
    <cellStyle name="Comma 2" xfId="2" xr:uid="{13495A82-9B49-443A-A04C-DE142326AA34}"/>
    <cellStyle name="Normal" xfId="0" builtinId="0"/>
    <cellStyle name="Normal 2" xfId="1" xr:uid="{B6B9DCC8-0A66-4E26-A27A-AC033538F8B6}"/>
    <cellStyle name="Percent 2" xfId="3" xr:uid="{505CFCA1-ACA3-4EE8-A907-B6AD02BF61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E15F-2352-4125-88C8-FC6222226401}">
  <dimension ref="B2:H214"/>
  <sheetViews>
    <sheetView tabSelected="1" workbookViewId="0">
      <selection activeCell="D12" sqref="D12"/>
    </sheetView>
  </sheetViews>
  <sheetFormatPr defaultRowHeight="14.25" x14ac:dyDescent="0.45"/>
  <cols>
    <col min="2" max="2" width="10.1328125" customWidth="1"/>
    <col min="3" max="3" width="18" customWidth="1"/>
    <col min="4" max="4" width="20.59765625" bestFit="1" customWidth="1"/>
    <col min="5" max="5" width="36.6640625" bestFit="1" customWidth="1"/>
    <col min="6" max="6" width="14.9296875" style="28" customWidth="1"/>
    <col min="7" max="7" width="19.796875" bestFit="1" customWidth="1"/>
    <col min="8" max="8" width="18.6640625" bestFit="1" customWidth="1"/>
  </cols>
  <sheetData>
    <row r="2" spans="2:8" x14ac:dyDescent="0.45">
      <c r="F2" s="30" t="s">
        <v>325</v>
      </c>
    </row>
    <row r="3" spans="2:8" x14ac:dyDescent="0.45">
      <c r="B3" s="13" t="s">
        <v>327</v>
      </c>
      <c r="C3" s="13" t="s">
        <v>304</v>
      </c>
      <c r="D3" s="13" t="s">
        <v>3</v>
      </c>
      <c r="E3" s="13" t="s">
        <v>4</v>
      </c>
      <c r="F3" s="29" t="s">
        <v>324</v>
      </c>
      <c r="G3" s="29" t="s">
        <v>7</v>
      </c>
      <c r="H3" s="29" t="s">
        <v>326</v>
      </c>
    </row>
    <row r="4" spans="2:8" x14ac:dyDescent="0.45">
      <c r="B4" s="3" t="s">
        <v>303</v>
      </c>
      <c r="C4" s="3" t="s">
        <v>0</v>
      </c>
      <c r="D4" s="3" t="s">
        <v>8</v>
      </c>
      <c r="E4" s="3" t="s">
        <v>9</v>
      </c>
      <c r="F4" s="31">
        <f>_xlfn.XLOOKUP(E4,Rigids!$C:$C,Rigids!$D:$D,0)</f>
        <v>323485.00000000006</v>
      </c>
      <c r="G4" s="33">
        <f>_xlfn.XLOOKUP(E4,Rigids!$C:$C,Rigids!$G:$G,0)</f>
        <v>40</v>
      </c>
      <c r="H4" s="33">
        <f>_xlfn.XLOOKUP(E4,Rigids!$C:$C,Rigids!$E:$E,0)</f>
        <v>35</v>
      </c>
    </row>
    <row r="5" spans="2:8" x14ac:dyDescent="0.45">
      <c r="B5" s="3" t="s">
        <v>303</v>
      </c>
      <c r="C5" s="3" t="s">
        <v>0</v>
      </c>
      <c r="D5" s="3" t="s">
        <v>8</v>
      </c>
      <c r="E5" s="3" t="s">
        <v>10</v>
      </c>
      <c r="F5" s="31">
        <f>_xlfn.XLOOKUP(E5,Rigids!$C:$C,Rigids!$D:$D,0)</f>
        <v>495662.50000000006</v>
      </c>
      <c r="G5" s="33">
        <f>_xlfn.XLOOKUP(E5,Rigids!$C:$C,Rigids!$G:$G,0)</f>
        <v>40</v>
      </c>
      <c r="H5" s="33">
        <f>_xlfn.XLOOKUP(E5,Rigids!$C:$C,Rigids!$E:$E,0)</f>
        <v>80</v>
      </c>
    </row>
    <row r="6" spans="2:8" x14ac:dyDescent="0.45">
      <c r="B6" s="3" t="s">
        <v>303</v>
      </c>
      <c r="C6" s="3" t="s">
        <v>0</v>
      </c>
      <c r="D6" s="3" t="s">
        <v>11</v>
      </c>
      <c r="E6" s="3" t="s">
        <v>11</v>
      </c>
      <c r="F6" s="31">
        <f>_xlfn.XLOOKUP(E6,Rigids!$C:$C,Rigids!$D:$D,0)</f>
        <v>349572.50000000006</v>
      </c>
      <c r="G6" s="33">
        <f>_xlfn.XLOOKUP(E6,Rigids!$C:$C,Rigids!$G:$G,0)</f>
        <v>40</v>
      </c>
      <c r="H6" s="33">
        <f>_xlfn.XLOOKUP(E6,Rigids!$C:$C,Rigids!$E:$E,0)</f>
        <v>65</v>
      </c>
    </row>
    <row r="7" spans="2:8" x14ac:dyDescent="0.45">
      <c r="B7" s="3" t="s">
        <v>303</v>
      </c>
      <c r="C7" s="3" t="s">
        <v>0</v>
      </c>
      <c r="D7" s="3" t="s">
        <v>12</v>
      </c>
      <c r="E7" s="3" t="s">
        <v>12</v>
      </c>
      <c r="F7" s="31">
        <f>_xlfn.XLOOKUP(E7,Rigids!$C:$C,Rigids!$D:$D,0)</f>
        <v>349572.50000000006</v>
      </c>
      <c r="G7" s="33">
        <f>_xlfn.XLOOKUP(E7,Rigids!$C:$C,Rigids!$G:$G,0)</f>
        <v>40</v>
      </c>
      <c r="H7" s="33">
        <f>_xlfn.XLOOKUP(E7,Rigids!$C:$C,Rigids!$E:$E,0)</f>
        <v>65</v>
      </c>
    </row>
    <row r="8" spans="2:8" x14ac:dyDescent="0.45">
      <c r="B8" s="3" t="s">
        <v>303</v>
      </c>
      <c r="C8" s="3" t="s">
        <v>0</v>
      </c>
      <c r="D8" s="3" t="s">
        <v>13</v>
      </c>
      <c r="E8" s="3" t="s">
        <v>13</v>
      </c>
      <c r="F8" s="31">
        <f>_xlfn.XLOOKUP(E8,Rigids!$C:$C,Rigids!$D:$D,0)</f>
        <v>125220.00000000001</v>
      </c>
      <c r="G8" s="33">
        <f>_xlfn.XLOOKUP(E8,Rigids!$C:$C,Rigids!$G:$G,0)</f>
        <v>40</v>
      </c>
      <c r="H8" s="33">
        <f>_xlfn.XLOOKUP(E8,Rigids!$C:$C,Rigids!$E:$E,0)</f>
        <v>65</v>
      </c>
    </row>
    <row r="9" spans="2:8" x14ac:dyDescent="0.45">
      <c r="B9" s="3" t="s">
        <v>303</v>
      </c>
      <c r="C9" s="3" t="s">
        <v>0</v>
      </c>
      <c r="D9" s="3" t="s">
        <v>14</v>
      </c>
      <c r="E9" s="3" t="s">
        <v>15</v>
      </c>
      <c r="F9" s="31">
        <f>_xlfn.XLOOKUP(E9,Rigids!$C:$C,Rigids!$D:$D,0)</f>
        <v>1069587.5</v>
      </c>
      <c r="G9" s="33">
        <f>_xlfn.XLOOKUP(E9,Rigids!$C:$C,Rigids!$G:$G,0)</f>
        <v>40</v>
      </c>
      <c r="H9" s="33">
        <f>_xlfn.XLOOKUP(E9,Rigids!$C:$C,Rigids!$E:$E,0)</f>
        <v>125</v>
      </c>
    </row>
    <row r="10" spans="2:8" x14ac:dyDescent="0.45">
      <c r="B10" s="3" t="s">
        <v>303</v>
      </c>
      <c r="C10" s="3" t="s">
        <v>0</v>
      </c>
      <c r="D10" s="3" t="s">
        <v>16</v>
      </c>
      <c r="E10" s="3" t="s">
        <v>17</v>
      </c>
      <c r="F10" s="31">
        <f>_xlfn.XLOOKUP(E10,Rigids!$C:$C,Rigids!$D:$D,0)</f>
        <v>357920.50000000006</v>
      </c>
      <c r="G10" s="33">
        <f>_xlfn.XLOOKUP(E10,Rigids!$C:$C,Rigids!$G:$G,0)</f>
        <v>40</v>
      </c>
      <c r="H10" s="33">
        <f>_xlfn.XLOOKUP(E10,Rigids!$C:$C,Rigids!$E:$E,0)</f>
        <v>70</v>
      </c>
    </row>
    <row r="11" spans="2:8" x14ac:dyDescent="0.45">
      <c r="B11" s="3" t="s">
        <v>303</v>
      </c>
      <c r="C11" s="3" t="s">
        <v>0</v>
      </c>
      <c r="D11" s="3" t="s">
        <v>16</v>
      </c>
      <c r="E11" s="3" t="s">
        <v>18</v>
      </c>
      <c r="F11" s="31">
        <f>_xlfn.XLOOKUP(E11,Rigids!$C:$C,Rigids!$D:$D,0)</f>
        <v>600012.5</v>
      </c>
      <c r="G11" s="33">
        <f>_xlfn.XLOOKUP(E11,Rigids!$C:$C,Rigids!$G:$G,0)</f>
        <v>40</v>
      </c>
      <c r="H11" s="33">
        <f>_xlfn.XLOOKUP(E11,Rigids!$C:$C,Rigids!$E:$E,0)</f>
        <v>70</v>
      </c>
    </row>
    <row r="12" spans="2:8" x14ac:dyDescent="0.45">
      <c r="B12" s="3" t="s">
        <v>303</v>
      </c>
      <c r="C12" s="3" t="s">
        <v>0</v>
      </c>
      <c r="D12" s="3" t="s">
        <v>19</v>
      </c>
      <c r="E12" s="3" t="s">
        <v>20</v>
      </c>
      <c r="F12" s="31">
        <f>_xlfn.XLOOKUP(E12,Rigids!$C:$C,Rigids!$D:$D,0)</f>
        <v>1153067.5</v>
      </c>
      <c r="G12" s="33">
        <f>_xlfn.XLOOKUP(E12,Rigids!$C:$C,Rigids!$G:$G,0)</f>
        <v>40</v>
      </c>
      <c r="H12" s="33">
        <f>_xlfn.XLOOKUP(E12,Rigids!$C:$C,Rigids!$E:$E,0)</f>
        <v>130</v>
      </c>
    </row>
    <row r="13" spans="2:8" x14ac:dyDescent="0.45">
      <c r="B13" s="3" t="s">
        <v>303</v>
      </c>
      <c r="C13" s="3" t="s">
        <v>0</v>
      </c>
      <c r="D13" s="3" t="s">
        <v>73</v>
      </c>
      <c r="E13" s="3" t="s">
        <v>74</v>
      </c>
      <c r="F13" s="31">
        <f>_xlfn.XLOOKUP(E13,Rigids!$C:$C,Rigids!$D:$D,0)</f>
        <v>125220.00000000001</v>
      </c>
      <c r="G13" s="33">
        <f>_xlfn.XLOOKUP(E13,Rigids!$C:$C,Rigids!$G:$G,0)</f>
        <v>20</v>
      </c>
      <c r="H13" s="33">
        <f>_xlfn.XLOOKUP(E13,Rigids!$C:$C,Rigids!$E:$E,0)</f>
        <v>40</v>
      </c>
    </row>
    <row r="14" spans="2:8" x14ac:dyDescent="0.45">
      <c r="B14" s="3" t="s">
        <v>303</v>
      </c>
      <c r="C14" s="3" t="s">
        <v>0</v>
      </c>
      <c r="D14" s="3" t="s">
        <v>350</v>
      </c>
      <c r="E14" s="3" t="s">
        <v>351</v>
      </c>
      <c r="F14" s="31">
        <f>_xlfn.XLOOKUP(E14,Rigids!$C:$C,Rigids!$D:$D,0)</f>
        <v>391312.50000000006</v>
      </c>
      <c r="G14" s="33">
        <f>_xlfn.XLOOKUP(E14,Rigids!$C:$C,Rigids!$G:$G,0)</f>
        <v>50</v>
      </c>
      <c r="H14" s="33">
        <f>_xlfn.XLOOKUP(E14,Rigids!$C:$C,Rigids!$E:$E,0)</f>
        <v>90</v>
      </c>
    </row>
    <row r="15" spans="2:8" x14ac:dyDescent="0.45">
      <c r="B15" s="3" t="s">
        <v>303</v>
      </c>
      <c r="C15" s="3" t="s">
        <v>0</v>
      </c>
      <c r="D15" s="3" t="s">
        <v>352</v>
      </c>
      <c r="E15" s="3" t="s">
        <v>353</v>
      </c>
      <c r="F15" s="31">
        <f>_xlfn.XLOOKUP(E15,Rigids!$C:$C,Rigids!$D:$D,0)</f>
        <v>495662.50000000006</v>
      </c>
      <c r="G15" s="33">
        <f>_xlfn.XLOOKUP(E15,Rigids!$C:$C,Rigids!$G:$G,0)</f>
        <v>71.5</v>
      </c>
      <c r="H15" s="33">
        <f>_xlfn.XLOOKUP(E15,Rigids!$C:$C,Rigids!$E:$E,0)</f>
        <v>120</v>
      </c>
    </row>
    <row r="16" spans="2:8" x14ac:dyDescent="0.45">
      <c r="B16" s="3" t="s">
        <v>303</v>
      </c>
      <c r="C16" s="3" t="s">
        <v>0</v>
      </c>
      <c r="D16" s="3" t="s">
        <v>11</v>
      </c>
      <c r="E16" s="3" t="s">
        <v>354</v>
      </c>
      <c r="F16" s="31">
        <f>_xlfn.XLOOKUP(E16,Rigids!$C:$C,Rigids!$D:$D,0)</f>
        <v>464357.50000000006</v>
      </c>
      <c r="G16" s="33">
        <f>_xlfn.XLOOKUP(E16,Rigids!$C:$C,Rigids!$G:$G,0)</f>
        <v>55</v>
      </c>
      <c r="H16" s="33">
        <f>_xlfn.XLOOKUP(E16,Rigids!$C:$C,Rigids!$E:$E,0)</f>
        <v>80</v>
      </c>
    </row>
    <row r="17" spans="2:8" x14ac:dyDescent="0.45">
      <c r="B17" s="3" t="s">
        <v>303</v>
      </c>
      <c r="C17" s="3" t="s">
        <v>0</v>
      </c>
      <c r="D17" s="3" t="s">
        <v>8</v>
      </c>
      <c r="E17" s="3" t="s">
        <v>355</v>
      </c>
      <c r="F17" s="31">
        <f>_xlfn.XLOOKUP(E17,Rigids!$C:$C,Rigids!$D:$D,0)</f>
        <v>391312.50000000006</v>
      </c>
      <c r="G17" s="33">
        <f>_xlfn.XLOOKUP(E17,Rigids!$C:$C,Rigids!$G:$G,0)</f>
        <v>55</v>
      </c>
      <c r="H17" s="33">
        <f>_xlfn.XLOOKUP(E17,Rigids!$C:$C,Rigids!$E:$E,0)</f>
        <v>85</v>
      </c>
    </row>
    <row r="18" spans="2:8" x14ac:dyDescent="0.45">
      <c r="B18" s="3" t="s">
        <v>303</v>
      </c>
      <c r="C18" s="3" t="s">
        <v>0</v>
      </c>
      <c r="D18" s="3" t="s">
        <v>356</v>
      </c>
      <c r="E18" s="3" t="s">
        <v>357</v>
      </c>
      <c r="F18" s="31">
        <f>_xlfn.XLOOKUP(E18,Rigids!$C:$C,Rigids!$D:$D,0)</f>
        <v>193047.50000000003</v>
      </c>
      <c r="G18" s="33">
        <f>_xlfn.XLOOKUP(E18,Rigids!$C:$C,Rigids!$G:$G,0)</f>
        <v>45</v>
      </c>
      <c r="H18" s="33">
        <f>_xlfn.XLOOKUP(E18,Rigids!$C:$C,Rigids!$E:$E,0)</f>
        <v>65</v>
      </c>
    </row>
    <row r="19" spans="2:8" x14ac:dyDescent="0.45">
      <c r="B19" s="3" t="s">
        <v>303</v>
      </c>
      <c r="C19" s="3" t="s">
        <v>67</v>
      </c>
      <c r="D19" s="3" t="s">
        <v>33</v>
      </c>
      <c r="E19" s="3" t="s">
        <v>34</v>
      </c>
      <c r="F19" s="31">
        <f>_xlfn.XLOOKUP(E19,Rigids!$C:$C,Rigids!$D:$D,0)</f>
        <v>140632.95454545447</v>
      </c>
      <c r="G19" s="33">
        <f>_xlfn.XLOOKUP(E19,Rigids!$C:$C,Rigids!$G:$G,0)</f>
        <v>40</v>
      </c>
      <c r="H19" s="33">
        <f>_xlfn.XLOOKUP(E19,Rigids!$C:$C,Rigids!$E:$E,0)</f>
        <v>22</v>
      </c>
    </row>
    <row r="20" spans="2:8" x14ac:dyDescent="0.45">
      <c r="B20" s="3" t="s">
        <v>303</v>
      </c>
      <c r="C20" s="3" t="s">
        <v>67</v>
      </c>
      <c r="D20" s="3" t="s">
        <v>33</v>
      </c>
      <c r="E20" s="3" t="s">
        <v>35</v>
      </c>
      <c r="F20" s="31">
        <f>_xlfn.XLOOKUP(E20,Rigids!$C:$C,Rigids!$D:$D,0)</f>
        <v>216996.5909090908</v>
      </c>
      <c r="G20" s="33">
        <f>_xlfn.XLOOKUP(E20,Rigids!$C:$C,Rigids!$G:$G,0)</f>
        <v>40</v>
      </c>
      <c r="H20" s="33">
        <f>_xlfn.XLOOKUP(E20,Rigids!$C:$C,Rigids!$E:$E,0)</f>
        <v>44</v>
      </c>
    </row>
    <row r="21" spans="2:8" x14ac:dyDescent="0.45">
      <c r="B21" s="3" t="s">
        <v>303</v>
      </c>
      <c r="C21" s="3" t="s">
        <v>67</v>
      </c>
      <c r="D21" s="3" t="s">
        <v>33</v>
      </c>
      <c r="E21" s="3" t="s">
        <v>36</v>
      </c>
      <c r="F21" s="31">
        <f>_xlfn.XLOOKUP(E21,Rigids!$C:$C,Rigids!$D:$D,0)</f>
        <v>255178.4090909092</v>
      </c>
      <c r="G21" s="33">
        <f>_xlfn.XLOOKUP(E21,Rigids!$C:$C,Rigids!$G:$G,0)</f>
        <v>40</v>
      </c>
      <c r="H21" s="33">
        <f>_xlfn.XLOOKUP(E21,Rigids!$C:$C,Rigids!$E:$E,0)</f>
        <v>66</v>
      </c>
    </row>
    <row r="22" spans="2:8" x14ac:dyDescent="0.45">
      <c r="B22" s="3" t="s">
        <v>303</v>
      </c>
      <c r="C22" s="3" t="s">
        <v>67</v>
      </c>
      <c r="D22" s="3" t="s">
        <v>33</v>
      </c>
      <c r="E22" s="3" t="s">
        <v>37</v>
      </c>
      <c r="F22" s="31">
        <f>_xlfn.XLOOKUP(E22,Rigids!$C:$C,Rigids!$D:$D,0)</f>
        <v>293360.22727272758</v>
      </c>
      <c r="G22" s="33">
        <f>_xlfn.XLOOKUP(E22,Rigids!$C:$C,Rigids!$G:$G,0)</f>
        <v>40</v>
      </c>
      <c r="H22" s="33">
        <f>_xlfn.XLOOKUP(E22,Rigids!$C:$C,Rigids!$E:$E,0)</f>
        <v>66</v>
      </c>
    </row>
    <row r="23" spans="2:8" x14ac:dyDescent="0.45">
      <c r="B23" s="3" t="s">
        <v>303</v>
      </c>
      <c r="C23" s="3" t="s">
        <v>67</v>
      </c>
      <c r="D23" s="3" t="s">
        <v>33</v>
      </c>
      <c r="E23" s="3" t="s">
        <v>38</v>
      </c>
      <c r="F23" s="31">
        <f>_xlfn.XLOOKUP(E23,Rigids!$C:$C,Rigids!$D:$D,0)</f>
        <v>331542.04545454599</v>
      </c>
      <c r="G23" s="33">
        <f>_xlfn.XLOOKUP(E23,Rigids!$C:$C,Rigids!$G:$G,0)</f>
        <v>40</v>
      </c>
      <c r="H23" s="33">
        <f>_xlfn.XLOOKUP(E23,Rigids!$C:$C,Rigids!$E:$E,0)</f>
        <v>66</v>
      </c>
    </row>
    <row r="24" spans="2:8" x14ac:dyDescent="0.45">
      <c r="B24" s="3" t="s">
        <v>303</v>
      </c>
      <c r="C24" s="3" t="s">
        <v>67</v>
      </c>
      <c r="D24" s="3" t="s">
        <v>39</v>
      </c>
      <c r="E24" s="3" t="s">
        <v>40</v>
      </c>
      <c r="F24" s="31">
        <f>_xlfn.XLOOKUP(E24,Rigids!$C:$C,Rigids!$D:$D,0)</f>
        <v>171241.66</v>
      </c>
      <c r="G24" s="33">
        <f>_xlfn.XLOOKUP(E24,Rigids!$C:$C,Rigids!$G:$G,0)</f>
        <v>40</v>
      </c>
      <c r="H24" s="33">
        <f>_xlfn.XLOOKUP(E24,Rigids!$C:$C,Rigids!$E:$E,0)</f>
        <v>30</v>
      </c>
    </row>
    <row r="25" spans="2:8" x14ac:dyDescent="0.45">
      <c r="B25" s="3" t="s">
        <v>303</v>
      </c>
      <c r="C25" s="3" t="s">
        <v>67</v>
      </c>
      <c r="D25" s="3" t="s">
        <v>39</v>
      </c>
      <c r="E25" s="3" t="s">
        <v>41</v>
      </c>
      <c r="F25" s="31">
        <f>_xlfn.XLOOKUP(E25,Rigids!$C:$C,Rigids!$D:$D,0)</f>
        <v>225332.86</v>
      </c>
      <c r="G25" s="33">
        <f>_xlfn.XLOOKUP(E25,Rigids!$C:$C,Rigids!$G:$G,0)</f>
        <v>40</v>
      </c>
      <c r="H25" s="33">
        <f>_xlfn.XLOOKUP(E25,Rigids!$C:$C,Rigids!$E:$E,0)</f>
        <v>45</v>
      </c>
    </row>
    <row r="26" spans="2:8" x14ac:dyDescent="0.45">
      <c r="B26" s="3" t="s">
        <v>303</v>
      </c>
      <c r="C26" s="3" t="s">
        <v>67</v>
      </c>
      <c r="D26" s="3" t="s">
        <v>39</v>
      </c>
      <c r="E26" s="3" t="s">
        <v>42</v>
      </c>
      <c r="F26" s="31">
        <f>_xlfn.XLOOKUP(E26,Rigids!$C:$C,Rigids!$D:$D,0)</f>
        <v>293315.02</v>
      </c>
      <c r="G26" s="33">
        <f>_xlfn.XLOOKUP(E26,Rigids!$C:$C,Rigids!$G:$G,0)</f>
        <v>40</v>
      </c>
      <c r="H26" s="33">
        <f>_xlfn.XLOOKUP(E26,Rigids!$C:$C,Rigids!$E:$E,0)</f>
        <v>45</v>
      </c>
    </row>
    <row r="27" spans="2:8" x14ac:dyDescent="0.45">
      <c r="B27" s="3" t="s">
        <v>303</v>
      </c>
      <c r="C27" s="3" t="s">
        <v>67</v>
      </c>
      <c r="D27" s="3" t="s">
        <v>43</v>
      </c>
      <c r="E27" s="3" t="s">
        <v>44</v>
      </c>
      <c r="F27" s="31">
        <f>_xlfn.XLOOKUP(E27,Rigids!$C:$C,Rigids!$D:$D,0)</f>
        <v>189723.86363636321</v>
      </c>
      <c r="G27" s="33">
        <f>_xlfn.XLOOKUP(E27,Rigids!$C:$C,Rigids!$G:$G,0)</f>
        <v>40</v>
      </c>
      <c r="H27" s="33">
        <f>_xlfn.XLOOKUP(E27,Rigids!$C:$C,Rigids!$E:$E,0)</f>
        <v>20</v>
      </c>
    </row>
    <row r="28" spans="2:8" x14ac:dyDescent="0.45">
      <c r="B28" s="3" t="s">
        <v>303</v>
      </c>
      <c r="C28" s="3" t="s">
        <v>67</v>
      </c>
      <c r="D28" s="3" t="s">
        <v>43</v>
      </c>
      <c r="E28" s="3" t="s">
        <v>45</v>
      </c>
      <c r="F28" s="31">
        <f>_xlfn.XLOOKUP(E28,Rigids!$C:$C,Rigids!$D:$D,0)</f>
        <v>298814.77272727242</v>
      </c>
      <c r="G28" s="33">
        <f>_xlfn.XLOOKUP(E28,Rigids!$C:$C,Rigids!$G:$G,0)</f>
        <v>40</v>
      </c>
      <c r="H28" s="33">
        <f>_xlfn.XLOOKUP(E28,Rigids!$C:$C,Rigids!$E:$E,0)</f>
        <v>40</v>
      </c>
    </row>
    <row r="29" spans="2:8" x14ac:dyDescent="0.45">
      <c r="B29" s="3" t="s">
        <v>303</v>
      </c>
      <c r="C29" s="3" t="s">
        <v>67</v>
      </c>
      <c r="D29" s="3" t="s">
        <v>43</v>
      </c>
      <c r="E29" s="3" t="s">
        <v>46</v>
      </c>
      <c r="F29" s="31">
        <f>_xlfn.XLOOKUP(E29,Rigids!$C:$C,Rigids!$D:$D,0)</f>
        <v>353360.22727272758</v>
      </c>
      <c r="G29" s="33">
        <f>_xlfn.XLOOKUP(E29,Rigids!$C:$C,Rigids!$G:$G,0)</f>
        <v>40</v>
      </c>
      <c r="H29" s="33">
        <f>_xlfn.XLOOKUP(E29,Rigids!$C:$C,Rigids!$E:$E,0)</f>
        <v>60</v>
      </c>
    </row>
    <row r="30" spans="2:8" x14ac:dyDescent="0.45">
      <c r="B30" s="3" t="s">
        <v>303</v>
      </c>
      <c r="C30" s="3" t="s">
        <v>67</v>
      </c>
      <c r="D30" s="3" t="s">
        <v>43</v>
      </c>
      <c r="E30" s="3" t="s">
        <v>47</v>
      </c>
      <c r="F30" s="31">
        <f>_xlfn.XLOOKUP(E30,Rigids!$C:$C,Rigids!$D:$D,0)</f>
        <v>407905.68181818159</v>
      </c>
      <c r="G30" s="33">
        <f>_xlfn.XLOOKUP(E30,Rigids!$C:$C,Rigids!$G:$G,0)</f>
        <v>40</v>
      </c>
      <c r="H30" s="33">
        <f>_xlfn.XLOOKUP(E30,Rigids!$C:$C,Rigids!$E:$E,0)</f>
        <v>60</v>
      </c>
    </row>
    <row r="31" spans="2:8" x14ac:dyDescent="0.45">
      <c r="B31" s="3" t="s">
        <v>303</v>
      </c>
      <c r="C31" s="3" t="s">
        <v>67</v>
      </c>
      <c r="D31" s="3" t="s">
        <v>43</v>
      </c>
      <c r="E31" s="3" t="s">
        <v>48</v>
      </c>
      <c r="F31" s="31">
        <f>_xlfn.XLOOKUP(E31,Rigids!$C:$C,Rigids!$D:$D,0)</f>
        <v>462451.13636363676</v>
      </c>
      <c r="G31" s="33">
        <f>_xlfn.XLOOKUP(E31,Rigids!$C:$C,Rigids!$G:$G,0)</f>
        <v>40</v>
      </c>
      <c r="H31" s="33">
        <f>_xlfn.XLOOKUP(E31,Rigids!$C:$C,Rigids!$E:$E,0)</f>
        <v>60</v>
      </c>
    </row>
    <row r="32" spans="2:8" x14ac:dyDescent="0.45">
      <c r="B32" s="3" t="s">
        <v>303</v>
      </c>
      <c r="C32" s="3" t="s">
        <v>67</v>
      </c>
      <c r="D32" s="3" t="s">
        <v>49</v>
      </c>
      <c r="E32" s="3" t="s">
        <v>50</v>
      </c>
      <c r="F32" s="31">
        <f>_xlfn.XLOOKUP(E32,Rigids!$C:$C,Rigids!$D:$D,0)</f>
        <v>156527.5</v>
      </c>
      <c r="G32" s="33">
        <f>_xlfn.XLOOKUP(E32,Rigids!$C:$C,Rigids!$G:$G,0)</f>
        <v>40</v>
      </c>
      <c r="H32" s="33">
        <f>_xlfn.XLOOKUP(E32,Rigids!$C:$C,Rigids!$E:$E,0)</f>
        <v>19</v>
      </c>
    </row>
    <row r="33" spans="2:8" x14ac:dyDescent="0.45">
      <c r="B33" s="3" t="s">
        <v>303</v>
      </c>
      <c r="C33" s="3" t="s">
        <v>67</v>
      </c>
      <c r="D33" s="3" t="s">
        <v>49</v>
      </c>
      <c r="E33" s="3" t="s">
        <v>51</v>
      </c>
      <c r="F33" s="31">
        <f>_xlfn.XLOOKUP(E33,Rigids!$C:$C,Rigids!$D:$D,0)</f>
        <v>182087.5</v>
      </c>
      <c r="G33" s="33">
        <f>_xlfn.XLOOKUP(E33,Rigids!$C:$C,Rigids!$G:$G,0)</f>
        <v>40</v>
      </c>
      <c r="H33" s="33">
        <f>_xlfn.XLOOKUP(E33,Rigids!$C:$C,Rigids!$E:$E,0)</f>
        <v>20</v>
      </c>
    </row>
    <row r="34" spans="2:8" x14ac:dyDescent="0.45">
      <c r="B34" s="3" t="s">
        <v>303</v>
      </c>
      <c r="C34" s="3" t="s">
        <v>67</v>
      </c>
      <c r="D34" s="3" t="s">
        <v>49</v>
      </c>
      <c r="E34" s="3" t="s">
        <v>52</v>
      </c>
      <c r="F34" s="31">
        <f>_xlfn.XLOOKUP(E34,Rigids!$C:$C,Rigids!$D:$D,0)</f>
        <v>202367.5</v>
      </c>
      <c r="G34" s="33">
        <f>_xlfn.XLOOKUP(E34,Rigids!$C:$C,Rigids!$G:$G,0)</f>
        <v>40</v>
      </c>
      <c r="H34" s="33">
        <f>_xlfn.XLOOKUP(E34,Rigids!$C:$C,Rigids!$E:$E,0)</f>
        <v>22</v>
      </c>
    </row>
    <row r="35" spans="2:8" x14ac:dyDescent="0.45">
      <c r="B35" s="3" t="s">
        <v>303</v>
      </c>
      <c r="C35" s="3" t="s">
        <v>67</v>
      </c>
      <c r="D35" s="3" t="s">
        <v>49</v>
      </c>
      <c r="E35" s="3" t="s">
        <v>53</v>
      </c>
      <c r="F35" s="31">
        <f>_xlfn.XLOOKUP(E35,Rigids!$C:$C,Rigids!$D:$D,0)</f>
        <v>207767.5</v>
      </c>
      <c r="G35" s="33">
        <f>_xlfn.XLOOKUP(E35,Rigids!$C:$C,Rigids!$G:$G,0)</f>
        <v>40</v>
      </c>
      <c r="H35" s="33">
        <f>_xlfn.XLOOKUP(E35,Rigids!$C:$C,Rigids!$E:$E,0)</f>
        <v>22</v>
      </c>
    </row>
    <row r="36" spans="2:8" x14ac:dyDescent="0.45">
      <c r="B36" s="3" t="s">
        <v>303</v>
      </c>
      <c r="C36" s="3" t="s">
        <v>67</v>
      </c>
      <c r="D36" s="3" t="s">
        <v>49</v>
      </c>
      <c r="E36" s="3" t="s">
        <v>54</v>
      </c>
      <c r="F36" s="31">
        <f>_xlfn.XLOOKUP(E36,Rigids!$C:$C,Rigids!$D:$D,0)</f>
        <v>227327.5</v>
      </c>
      <c r="G36" s="33">
        <f>_xlfn.XLOOKUP(E36,Rigids!$C:$C,Rigids!$G:$G,0)</f>
        <v>40</v>
      </c>
      <c r="H36" s="33">
        <f>_xlfn.XLOOKUP(E36,Rigids!$C:$C,Rigids!$E:$E,0)</f>
        <v>28</v>
      </c>
    </row>
    <row r="37" spans="2:8" x14ac:dyDescent="0.45">
      <c r="B37" s="3" t="s">
        <v>303</v>
      </c>
      <c r="C37" s="3" t="s">
        <v>67</v>
      </c>
      <c r="D37" s="3" t="s">
        <v>49</v>
      </c>
      <c r="E37" s="3" t="s">
        <v>55</v>
      </c>
      <c r="F37" s="31">
        <f>_xlfn.XLOOKUP(E37,Rigids!$C:$C,Rigids!$D:$D,0)</f>
        <v>240407.5</v>
      </c>
      <c r="G37" s="33">
        <f>_xlfn.XLOOKUP(E37,Rigids!$C:$C,Rigids!$G:$G,0)</f>
        <v>40</v>
      </c>
      <c r="H37" s="33">
        <f>_xlfn.XLOOKUP(E37,Rigids!$C:$C,Rigids!$E:$E,0)</f>
        <v>28</v>
      </c>
    </row>
    <row r="38" spans="2:8" x14ac:dyDescent="0.45">
      <c r="B38" s="3" t="s">
        <v>303</v>
      </c>
      <c r="C38" s="3" t="s">
        <v>67</v>
      </c>
      <c r="D38" s="3" t="s">
        <v>49</v>
      </c>
      <c r="E38" s="3" t="s">
        <v>56</v>
      </c>
      <c r="F38" s="31">
        <f>_xlfn.XLOOKUP(E38,Rigids!$C:$C,Rigids!$D:$D,0)</f>
        <v>278687.5</v>
      </c>
      <c r="G38" s="33">
        <f>_xlfn.XLOOKUP(E38,Rigids!$C:$C,Rigids!$G:$G,0)</f>
        <v>40</v>
      </c>
      <c r="H38" s="33">
        <f>_xlfn.XLOOKUP(E38,Rigids!$C:$C,Rigids!$E:$E,0)</f>
        <v>40</v>
      </c>
    </row>
    <row r="39" spans="2:8" x14ac:dyDescent="0.45">
      <c r="B39" s="3" t="s">
        <v>303</v>
      </c>
      <c r="C39" s="3" t="s">
        <v>67</v>
      </c>
      <c r="D39" s="3" t="s">
        <v>49</v>
      </c>
      <c r="E39" s="3" t="s">
        <v>57</v>
      </c>
      <c r="F39" s="31">
        <f>_xlfn.XLOOKUP(E39,Rigids!$C:$C,Rigids!$D:$D,0)</f>
        <v>294047.5</v>
      </c>
      <c r="G39" s="33">
        <f>_xlfn.XLOOKUP(E39,Rigids!$C:$C,Rigids!$G:$G,0)</f>
        <v>40</v>
      </c>
      <c r="H39" s="33">
        <f>_xlfn.XLOOKUP(E39,Rigids!$C:$C,Rigids!$E:$E,0)</f>
        <v>40</v>
      </c>
    </row>
    <row r="40" spans="2:8" x14ac:dyDescent="0.45">
      <c r="B40" s="3" t="s">
        <v>303</v>
      </c>
      <c r="C40" s="3" t="s">
        <v>67</v>
      </c>
      <c r="D40" s="3" t="s">
        <v>58</v>
      </c>
      <c r="E40" s="3" t="s">
        <v>59</v>
      </c>
      <c r="F40" s="31">
        <f>_xlfn.XLOOKUP(E40,Rigids!$C:$C,Rigids!$D:$D,0)</f>
        <v>206087.5</v>
      </c>
      <c r="G40" s="33">
        <f>_xlfn.XLOOKUP(E40,Rigids!$C:$C,Rigids!$G:$G,0)</f>
        <v>40</v>
      </c>
      <c r="H40" s="33">
        <f>_xlfn.XLOOKUP(E40,Rigids!$C:$C,Rigids!$E:$E,0)</f>
        <v>20</v>
      </c>
    </row>
    <row r="41" spans="2:8" x14ac:dyDescent="0.45">
      <c r="B41" s="3" t="s">
        <v>303</v>
      </c>
      <c r="C41" s="3" t="s">
        <v>67</v>
      </c>
      <c r="D41" s="3" t="s">
        <v>58</v>
      </c>
      <c r="E41" s="3" t="s">
        <v>60</v>
      </c>
      <c r="F41" s="31">
        <f>_xlfn.XLOOKUP(E41,Rigids!$C:$C,Rigids!$D:$D,0)</f>
        <v>266087.5</v>
      </c>
      <c r="G41" s="33">
        <f>_xlfn.XLOOKUP(E41,Rigids!$C:$C,Rigids!$G:$G,0)</f>
        <v>40</v>
      </c>
      <c r="H41" s="33">
        <f>_xlfn.XLOOKUP(E41,Rigids!$C:$C,Rigids!$E:$E,0)</f>
        <v>40</v>
      </c>
    </row>
    <row r="42" spans="2:8" x14ac:dyDescent="0.45">
      <c r="B42" s="3" t="s">
        <v>303</v>
      </c>
      <c r="C42" s="3" t="s">
        <v>67</v>
      </c>
      <c r="D42" s="3" t="s">
        <v>58</v>
      </c>
      <c r="E42" s="3" t="s">
        <v>61</v>
      </c>
      <c r="F42" s="31">
        <f>_xlfn.XLOOKUP(E42,Rigids!$C:$C,Rigids!$D:$D,0)</f>
        <v>326087.5</v>
      </c>
      <c r="G42" s="33">
        <f>_xlfn.XLOOKUP(E42,Rigids!$C:$C,Rigids!$G:$G,0)</f>
        <v>40</v>
      </c>
      <c r="H42" s="33">
        <f>_xlfn.XLOOKUP(E42,Rigids!$C:$C,Rigids!$E:$E,0)</f>
        <v>40</v>
      </c>
    </row>
    <row r="43" spans="2:8" x14ac:dyDescent="0.45">
      <c r="B43" s="3" t="s">
        <v>303</v>
      </c>
      <c r="C43" s="3" t="s">
        <v>67</v>
      </c>
      <c r="D43" s="3" t="s">
        <v>58</v>
      </c>
      <c r="E43" s="3" t="s">
        <v>62</v>
      </c>
      <c r="F43" s="31">
        <f>_xlfn.XLOOKUP(E43,Rigids!$C:$C,Rigids!$D:$D,0)</f>
        <v>386087.5</v>
      </c>
      <c r="G43" s="33">
        <f>_xlfn.XLOOKUP(E43,Rigids!$C:$C,Rigids!$G:$G,0)</f>
        <v>40</v>
      </c>
      <c r="H43" s="33">
        <f>_xlfn.XLOOKUP(E43,Rigids!$C:$C,Rigids!$E:$E,0)</f>
        <v>60</v>
      </c>
    </row>
    <row r="44" spans="2:8" x14ac:dyDescent="0.45">
      <c r="B44" s="3" t="s">
        <v>303</v>
      </c>
      <c r="C44" s="3" t="s">
        <v>67</v>
      </c>
      <c r="D44" s="3" t="s">
        <v>58</v>
      </c>
      <c r="E44" s="3" t="s">
        <v>63</v>
      </c>
      <c r="F44" s="31">
        <f>_xlfn.XLOOKUP(E44,Rigids!$C:$C,Rigids!$D:$D,0)</f>
        <v>446087.5</v>
      </c>
      <c r="G44" s="33">
        <f>_xlfn.XLOOKUP(E44,Rigids!$C:$C,Rigids!$G:$G,0)</f>
        <v>40</v>
      </c>
      <c r="H44" s="33">
        <f>_xlfn.XLOOKUP(E44,Rigids!$C:$C,Rigids!$E:$E,0)</f>
        <v>60</v>
      </c>
    </row>
    <row r="45" spans="2:8" x14ac:dyDescent="0.45">
      <c r="B45" s="3" t="s">
        <v>303</v>
      </c>
      <c r="C45" s="3" t="s">
        <v>67</v>
      </c>
      <c r="D45" s="3" t="s">
        <v>58</v>
      </c>
      <c r="E45" s="3" t="s">
        <v>64</v>
      </c>
      <c r="F45" s="31">
        <f>_xlfn.XLOOKUP(E45,Rigids!$C:$C,Rigids!$D:$D,0)</f>
        <v>506087.5</v>
      </c>
      <c r="G45" s="33">
        <f>_xlfn.XLOOKUP(E45,Rigids!$C:$C,Rigids!$G:$G,0)</f>
        <v>40</v>
      </c>
      <c r="H45" s="33">
        <f>_xlfn.XLOOKUP(E45,Rigids!$C:$C,Rigids!$E:$E,0)</f>
        <v>60</v>
      </c>
    </row>
    <row r="46" spans="2:8" x14ac:dyDescent="0.45">
      <c r="B46" s="3" t="s">
        <v>303</v>
      </c>
      <c r="C46" s="3" t="s">
        <v>67</v>
      </c>
      <c r="D46" s="3" t="s">
        <v>65</v>
      </c>
      <c r="E46" s="3" t="s">
        <v>66</v>
      </c>
      <c r="F46" s="31">
        <f>_xlfn.XLOOKUP(E46,Rigids!$C:$C,Rigids!$D:$D,0)</f>
        <v>25000</v>
      </c>
      <c r="G46" s="33">
        <f>_xlfn.XLOOKUP(E46,Rigids!$C:$C,Rigids!$G:$G,0)</f>
        <v>40</v>
      </c>
      <c r="H46" s="33">
        <f>_xlfn.XLOOKUP(E46,Rigids!$C:$C,Rigids!$E:$E,0)</f>
        <v>0</v>
      </c>
    </row>
    <row r="47" spans="2:8" x14ac:dyDescent="0.45">
      <c r="B47" s="3" t="s">
        <v>303</v>
      </c>
      <c r="C47" s="3" t="s">
        <v>67</v>
      </c>
      <c r="D47" s="3" t="s">
        <v>72</v>
      </c>
      <c r="E47" s="3" t="s">
        <v>76</v>
      </c>
      <c r="F47" s="31">
        <f>_xlfn.XLOOKUP(E47,Rigids!$C:$C,Rigids!$D:$D,0)</f>
        <v>303971.55000000005</v>
      </c>
      <c r="G47" s="33">
        <f>_xlfn.XLOOKUP(E47,Rigids!$C:$C,Rigids!$G:$G,0)</f>
        <v>40</v>
      </c>
      <c r="H47" s="33">
        <f>_xlfn.XLOOKUP(E47,Rigids!$C:$C,Rigids!$E:$E,0)</f>
        <v>35</v>
      </c>
    </row>
    <row r="48" spans="2:8" x14ac:dyDescent="0.45">
      <c r="B48" s="3" t="s">
        <v>303</v>
      </c>
      <c r="C48" s="3" t="s">
        <v>67</v>
      </c>
      <c r="D48" s="3" t="s">
        <v>72</v>
      </c>
      <c r="E48" s="3" t="s">
        <v>77</v>
      </c>
      <c r="F48" s="31">
        <f>_xlfn.XLOOKUP(E48,Rigids!$C:$C,Rigids!$D:$D,0)</f>
        <v>394964.75000000006</v>
      </c>
      <c r="G48" s="33">
        <f>_xlfn.XLOOKUP(E48,Rigids!$C:$C,Rigids!$G:$G,0)</f>
        <v>40</v>
      </c>
      <c r="H48" s="33">
        <f>_xlfn.XLOOKUP(E48,Rigids!$C:$C,Rigids!$E:$E,0)</f>
        <v>80</v>
      </c>
    </row>
    <row r="49" spans="2:8" x14ac:dyDescent="0.45">
      <c r="B49" s="3" t="s">
        <v>303</v>
      </c>
      <c r="C49" s="3" t="s">
        <v>67</v>
      </c>
      <c r="D49" s="3" t="s">
        <v>72</v>
      </c>
      <c r="E49" s="3" t="s">
        <v>78</v>
      </c>
      <c r="F49" s="31">
        <f>_xlfn.XLOOKUP(E49,Rigids!$C:$C,Rigids!$D:$D,0)</f>
        <v>439313.50000000006</v>
      </c>
      <c r="G49" s="33">
        <f>_xlfn.XLOOKUP(E49,Rigids!$C:$C,Rigids!$G:$G,0)</f>
        <v>40</v>
      </c>
      <c r="H49" s="33">
        <f>_xlfn.XLOOKUP(E49,Rigids!$C:$C,Rigids!$E:$E,0)</f>
        <v>85</v>
      </c>
    </row>
    <row r="50" spans="2:8" x14ac:dyDescent="0.45">
      <c r="B50" s="3" t="s">
        <v>303</v>
      </c>
      <c r="C50" s="3" t="s">
        <v>67</v>
      </c>
      <c r="D50" s="3" t="s">
        <v>72</v>
      </c>
      <c r="E50" s="3" t="s">
        <v>79</v>
      </c>
      <c r="F50" s="31">
        <f>_xlfn.XLOOKUP(E50,Rigids!$C:$C,Rigids!$D:$D,0)</f>
        <v>506097.50000000006</v>
      </c>
      <c r="G50" s="33">
        <f>_xlfn.XLOOKUP(E50,Rigids!$C:$C,Rigids!$G:$G,0)</f>
        <v>40</v>
      </c>
      <c r="H50" s="33">
        <f>_xlfn.XLOOKUP(E50,Rigids!$C:$C,Rigids!$E:$E,0)</f>
        <v>95</v>
      </c>
    </row>
    <row r="51" spans="2:8" x14ac:dyDescent="0.45">
      <c r="B51" s="3" t="s">
        <v>303</v>
      </c>
      <c r="C51" s="3" t="s">
        <v>75</v>
      </c>
      <c r="D51" s="3" t="s">
        <v>68</v>
      </c>
      <c r="E51" s="3" t="s">
        <v>69</v>
      </c>
      <c r="F51" s="31">
        <f>_xlfn.XLOOKUP(E51,Rigids!$C:$C,Rigids!$D:$D,0)</f>
        <v>542620</v>
      </c>
      <c r="G51" s="33">
        <f>_xlfn.XLOOKUP(E51,Rigids!$C:$C,Rigids!$G:$G,0)</f>
        <v>40</v>
      </c>
      <c r="H51" s="33">
        <f>_xlfn.XLOOKUP(E51,Rigids!$C:$C,Rigids!$E:$E,0)</f>
        <v>65</v>
      </c>
    </row>
    <row r="52" spans="2:8" x14ac:dyDescent="0.45">
      <c r="B52" s="3" t="s">
        <v>303</v>
      </c>
      <c r="C52" s="3" t="s">
        <v>75</v>
      </c>
      <c r="D52" s="3" t="s">
        <v>68</v>
      </c>
      <c r="E52" s="3" t="s">
        <v>70</v>
      </c>
      <c r="F52" s="31">
        <f>_xlfn.XLOOKUP(E52,Rigids!$C:$C,Rigids!$D:$D,0)</f>
        <v>626100</v>
      </c>
      <c r="G52" s="33">
        <f>_xlfn.XLOOKUP(E52,Rigids!$C:$C,Rigids!$G:$G,0)</f>
        <v>40</v>
      </c>
      <c r="H52" s="33">
        <f>_xlfn.XLOOKUP(E52,Rigids!$C:$C,Rigids!$E:$E,0)</f>
        <v>125</v>
      </c>
    </row>
    <row r="53" spans="2:8" x14ac:dyDescent="0.45">
      <c r="B53" s="3" t="s">
        <v>303</v>
      </c>
      <c r="C53" s="3" t="s">
        <v>71</v>
      </c>
      <c r="D53" s="3"/>
      <c r="E53" s="3" t="s">
        <v>71</v>
      </c>
      <c r="F53" s="31">
        <f>_xlfn.XLOOKUP(E53,Rigids!$C:$C,Rigids!$D:$D,0)</f>
        <v>50000</v>
      </c>
      <c r="G53" s="33">
        <f>_xlfn.XLOOKUP(E53,Rigids!$C:$C,Rigids!$G:$G,0)</f>
        <v>0</v>
      </c>
      <c r="H53" s="33">
        <f>_xlfn.XLOOKUP(E53,Rigids!$C:$C,Rigids!$E:$E,0)</f>
        <v>0</v>
      </c>
    </row>
    <row r="54" spans="2:8" x14ac:dyDescent="0.45">
      <c r="B54" s="3" t="s">
        <v>305</v>
      </c>
      <c r="C54" s="3" t="s">
        <v>84</v>
      </c>
      <c r="D54" s="3" t="s">
        <v>144</v>
      </c>
      <c r="E54" s="3" t="s">
        <v>85</v>
      </c>
      <c r="F54" s="31">
        <f>_xlfn.XLOOKUP(E54,Flexibles!$C:$C,Flexibles!$D:$D,0)</f>
        <v>3000000</v>
      </c>
      <c r="G54" s="33">
        <f>_xlfn.XLOOKUP(E54,Flexibles!$C:$C,Flexibles!$H:$H,0)</f>
        <v>210</v>
      </c>
      <c r="H54" s="33">
        <f>_xlfn.XLOOKUP(E54,Flexibles!$C:$C,Flexibles!$G:$G,0)</f>
        <v>180</v>
      </c>
    </row>
    <row r="55" spans="2:8" x14ac:dyDescent="0.45">
      <c r="B55" s="3" t="s">
        <v>305</v>
      </c>
      <c r="C55" s="3" t="s">
        <v>84</v>
      </c>
      <c r="D55" s="3" t="s">
        <v>144</v>
      </c>
      <c r="E55" s="3" t="s">
        <v>86</v>
      </c>
      <c r="F55" s="31">
        <f>_xlfn.XLOOKUP(E55,Flexibles!$C:$C,Flexibles!$D:$D,0)</f>
        <v>3000000</v>
      </c>
      <c r="G55" s="33">
        <f>_xlfn.XLOOKUP(E55,Flexibles!$C:$C,Flexibles!$H:$H,0)</f>
        <v>240</v>
      </c>
      <c r="H55" s="33">
        <f>_xlfn.XLOOKUP(E55,Flexibles!$C:$C,Flexibles!$G:$G,0)</f>
        <v>180</v>
      </c>
    </row>
    <row r="56" spans="2:8" x14ac:dyDescent="0.45">
      <c r="B56" s="3" t="s">
        <v>305</v>
      </c>
      <c r="C56" s="3" t="s">
        <v>84</v>
      </c>
      <c r="D56" s="3" t="s">
        <v>144</v>
      </c>
      <c r="E56" s="3" t="s">
        <v>87</v>
      </c>
      <c r="F56" s="31">
        <f>_xlfn.XLOOKUP(E56,Flexibles!$C:$C,Flexibles!$D:$D,0)</f>
        <v>2500000</v>
      </c>
      <c r="G56" s="33">
        <f>_xlfn.XLOOKUP(E56,Flexibles!$C:$C,Flexibles!$H:$H,0)</f>
        <v>154</v>
      </c>
      <c r="H56" s="33">
        <f>_xlfn.XLOOKUP(E56,Flexibles!$C:$C,Flexibles!$G:$G,0)</f>
        <v>180</v>
      </c>
    </row>
    <row r="57" spans="2:8" x14ac:dyDescent="0.45">
      <c r="B57" s="3" t="s">
        <v>305</v>
      </c>
      <c r="C57" s="3" t="s">
        <v>84</v>
      </c>
      <c r="D57" s="3" t="s">
        <v>144</v>
      </c>
      <c r="E57" s="3" t="s">
        <v>88</v>
      </c>
      <c r="F57" s="31">
        <f>_xlfn.XLOOKUP(E57,Flexibles!$C:$C,Flexibles!$D:$D,0)</f>
        <v>2500000</v>
      </c>
      <c r="G57" s="33">
        <f>_xlfn.XLOOKUP(E57,Flexibles!$C:$C,Flexibles!$H:$H,0)</f>
        <v>120</v>
      </c>
      <c r="H57" s="33">
        <f>_xlfn.XLOOKUP(E57,Flexibles!$C:$C,Flexibles!$G:$G,0)</f>
        <v>180</v>
      </c>
    </row>
    <row r="58" spans="2:8" x14ac:dyDescent="0.45">
      <c r="B58" s="3" t="s">
        <v>305</v>
      </c>
      <c r="C58" s="3" t="s">
        <v>84</v>
      </c>
      <c r="D58" s="3" t="s">
        <v>144</v>
      </c>
      <c r="E58" s="3" t="s">
        <v>89</v>
      </c>
      <c r="F58" s="31">
        <f>_xlfn.XLOOKUP(E58,Flexibles!$C:$C,Flexibles!$D:$D,0)</f>
        <v>1800000</v>
      </c>
      <c r="G58" s="33">
        <f>_xlfn.XLOOKUP(E58,Flexibles!$C:$C,Flexibles!$H:$H,0)</f>
        <v>110</v>
      </c>
      <c r="H58" s="33">
        <f>_xlfn.XLOOKUP(E58,Flexibles!$C:$C,Flexibles!$G:$G,0)</f>
        <v>180</v>
      </c>
    </row>
    <row r="59" spans="2:8" x14ac:dyDescent="0.45">
      <c r="B59" s="3" t="s">
        <v>305</v>
      </c>
      <c r="C59" s="3" t="s">
        <v>84</v>
      </c>
      <c r="D59" s="3" t="s">
        <v>144</v>
      </c>
      <c r="E59" s="3" t="s">
        <v>90</v>
      </c>
      <c r="F59" s="31">
        <f>_xlfn.XLOOKUP(E59,Flexibles!$C:$C,Flexibles!$D:$D,0)</f>
        <v>1800000</v>
      </c>
      <c r="G59" s="33">
        <f>_xlfn.XLOOKUP(E59,Flexibles!$C:$C,Flexibles!$H:$H,0)</f>
        <v>180</v>
      </c>
      <c r="H59" s="33">
        <f>_xlfn.XLOOKUP(E59,Flexibles!$C:$C,Flexibles!$G:$G,0)</f>
        <v>180</v>
      </c>
    </row>
    <row r="60" spans="2:8" x14ac:dyDescent="0.45">
      <c r="B60" s="3" t="s">
        <v>305</v>
      </c>
      <c r="C60" s="3" t="s">
        <v>84</v>
      </c>
      <c r="D60" s="3" t="s">
        <v>144</v>
      </c>
      <c r="E60" s="3" t="s">
        <v>91</v>
      </c>
      <c r="F60" s="31">
        <f>_xlfn.XLOOKUP(E60,Flexibles!$C:$C,Flexibles!$D:$D,0)</f>
        <v>1800000</v>
      </c>
      <c r="G60" s="33">
        <f>_xlfn.XLOOKUP(E60,Flexibles!$C:$C,Flexibles!$H:$H,0)</f>
        <v>208</v>
      </c>
      <c r="H60" s="33">
        <f>_xlfn.XLOOKUP(E60,Flexibles!$C:$C,Flexibles!$G:$G,0)</f>
        <v>180</v>
      </c>
    </row>
    <row r="61" spans="2:8" x14ac:dyDescent="0.45">
      <c r="B61" s="3" t="s">
        <v>305</v>
      </c>
      <c r="C61" s="3" t="s">
        <v>84</v>
      </c>
      <c r="D61" s="3" t="s">
        <v>145</v>
      </c>
      <c r="E61" s="3" t="s">
        <v>92</v>
      </c>
      <c r="F61" s="31">
        <f>_xlfn.XLOOKUP(E61,Flexibles!$C:$C,Flexibles!$D:$D,0)</f>
        <v>1500000</v>
      </c>
      <c r="G61" s="33">
        <f>_xlfn.XLOOKUP(E61,Flexibles!$C:$C,Flexibles!$H:$H,0)</f>
        <v>56</v>
      </c>
      <c r="H61" s="33">
        <f>_xlfn.XLOOKUP(E61,Flexibles!$C:$C,Flexibles!$G:$G,0)</f>
        <v>180</v>
      </c>
    </row>
    <row r="62" spans="2:8" x14ac:dyDescent="0.45">
      <c r="B62" s="3" t="s">
        <v>305</v>
      </c>
      <c r="C62" s="3" t="s">
        <v>84</v>
      </c>
      <c r="D62" s="3" t="s">
        <v>145</v>
      </c>
      <c r="E62" s="3" t="s">
        <v>93</v>
      </c>
      <c r="F62" s="31">
        <f>_xlfn.XLOOKUP(E62,Flexibles!$C:$C,Flexibles!$D:$D,0)</f>
        <v>1500000</v>
      </c>
      <c r="G62" s="33">
        <f>_xlfn.XLOOKUP(E62,Flexibles!$C:$C,Flexibles!$H:$H,0)</f>
        <v>56</v>
      </c>
      <c r="H62" s="33">
        <f>_xlfn.XLOOKUP(E62,Flexibles!$C:$C,Flexibles!$G:$G,0)</f>
        <v>180</v>
      </c>
    </row>
    <row r="63" spans="2:8" x14ac:dyDescent="0.45">
      <c r="B63" s="3" t="s">
        <v>305</v>
      </c>
      <c r="C63" s="3" t="s">
        <v>84</v>
      </c>
      <c r="D63" s="3" t="s">
        <v>146</v>
      </c>
      <c r="E63" s="3" t="s">
        <v>94</v>
      </c>
      <c r="F63" s="31">
        <f>_xlfn.XLOOKUP(E63,Flexibles!$C:$C,Flexibles!$D:$D,0)</f>
        <v>1800000</v>
      </c>
      <c r="G63" s="33">
        <f>_xlfn.XLOOKUP(E63,Flexibles!$C:$C,Flexibles!$H:$H,0)</f>
        <v>81</v>
      </c>
      <c r="H63" s="33">
        <f>_xlfn.XLOOKUP(E63,Flexibles!$C:$C,Flexibles!$G:$G,0)</f>
        <v>180</v>
      </c>
    </row>
    <row r="64" spans="2:8" x14ac:dyDescent="0.45">
      <c r="B64" s="3" t="s">
        <v>305</v>
      </c>
      <c r="C64" s="3" t="s">
        <v>84</v>
      </c>
      <c r="D64" s="3" t="s">
        <v>147</v>
      </c>
      <c r="E64" s="3" t="s">
        <v>95</v>
      </c>
      <c r="F64" s="31">
        <f>_xlfn.XLOOKUP(E64,Flexibles!$C:$C,Flexibles!$D:$D,0)</f>
        <v>1800000</v>
      </c>
      <c r="G64" s="33">
        <f>_xlfn.XLOOKUP(E64,Flexibles!$C:$C,Flexibles!$H:$H,0)</f>
        <v>90</v>
      </c>
      <c r="H64" s="33">
        <f>_xlfn.XLOOKUP(E64,Flexibles!$C:$C,Flexibles!$G:$G,0)</f>
        <v>180</v>
      </c>
    </row>
    <row r="65" spans="2:8" x14ac:dyDescent="0.45">
      <c r="B65" s="3" t="s">
        <v>305</v>
      </c>
      <c r="C65" s="3" t="s">
        <v>84</v>
      </c>
      <c r="D65" s="3" t="s">
        <v>147</v>
      </c>
      <c r="E65" s="3" t="s">
        <v>96</v>
      </c>
      <c r="F65" s="31">
        <f>_xlfn.XLOOKUP(E65,Flexibles!$C:$C,Flexibles!$D:$D,0)</f>
        <v>1450000</v>
      </c>
      <c r="G65" s="33">
        <f>_xlfn.XLOOKUP(E65,Flexibles!$C:$C,Flexibles!$H:$H,0)</f>
        <v>90</v>
      </c>
      <c r="H65" s="33">
        <f>_xlfn.XLOOKUP(E65,Flexibles!$C:$C,Flexibles!$G:$G,0)</f>
        <v>180</v>
      </c>
    </row>
    <row r="66" spans="2:8" x14ac:dyDescent="0.45">
      <c r="B66" s="3" t="s">
        <v>305</v>
      </c>
      <c r="C66" s="3" t="s">
        <v>84</v>
      </c>
      <c r="D66" s="3" t="s">
        <v>147</v>
      </c>
      <c r="E66" s="3" t="s">
        <v>97</v>
      </c>
      <c r="F66" s="31">
        <f>_xlfn.XLOOKUP(E66,Flexibles!$C:$C,Flexibles!$D:$D,0)</f>
        <v>1400000</v>
      </c>
      <c r="G66" s="33">
        <f>_xlfn.XLOOKUP(E66,Flexibles!$C:$C,Flexibles!$H:$H,0)</f>
        <v>90</v>
      </c>
      <c r="H66" s="33">
        <f>_xlfn.XLOOKUP(E66,Flexibles!$C:$C,Flexibles!$G:$G,0)</f>
        <v>180</v>
      </c>
    </row>
    <row r="67" spans="2:8" x14ac:dyDescent="0.45">
      <c r="B67" s="3" t="s">
        <v>305</v>
      </c>
      <c r="C67" s="3" t="s">
        <v>84</v>
      </c>
      <c r="D67" s="3" t="s">
        <v>147</v>
      </c>
      <c r="E67" s="3" t="s">
        <v>98</v>
      </c>
      <c r="F67" s="31">
        <f>_xlfn.XLOOKUP(E67,Flexibles!$C:$C,Flexibles!$D:$D,0)</f>
        <v>1600000</v>
      </c>
      <c r="G67" s="33">
        <f>_xlfn.XLOOKUP(E67,Flexibles!$C:$C,Flexibles!$H:$H,0)</f>
        <v>90</v>
      </c>
      <c r="H67" s="33">
        <f>_xlfn.XLOOKUP(E67,Flexibles!$C:$C,Flexibles!$G:$G,0)</f>
        <v>180</v>
      </c>
    </row>
    <row r="68" spans="2:8" x14ac:dyDescent="0.45">
      <c r="B68" s="3" t="s">
        <v>305</v>
      </c>
      <c r="C68" s="3" t="s">
        <v>84</v>
      </c>
      <c r="D68" s="3" t="s">
        <v>148</v>
      </c>
      <c r="E68" s="3" t="s">
        <v>99</v>
      </c>
      <c r="F68" s="31">
        <f>_xlfn.XLOOKUP(E68,Flexibles!$C:$C,Flexibles!$D:$D,0)</f>
        <v>1100000</v>
      </c>
      <c r="G68" s="33">
        <f>_xlfn.XLOOKUP(E68,Flexibles!$C:$C,Flexibles!$H:$H,0)</f>
        <v>64</v>
      </c>
      <c r="H68" s="33">
        <f>_xlfn.XLOOKUP(E68,Flexibles!$C:$C,Flexibles!$G:$G,0)</f>
        <v>180</v>
      </c>
    </row>
    <row r="69" spans="2:8" x14ac:dyDescent="0.45">
      <c r="B69" s="3" t="s">
        <v>305</v>
      </c>
      <c r="C69" s="3" t="s">
        <v>84</v>
      </c>
      <c r="D69" s="3" t="s">
        <v>148</v>
      </c>
      <c r="E69" s="3" t="s">
        <v>100</v>
      </c>
      <c r="F69" s="31">
        <f>_xlfn.XLOOKUP(E69,Flexibles!$C:$C,Flexibles!$D:$D,0)</f>
        <v>1100000</v>
      </c>
      <c r="G69" s="33">
        <f>_xlfn.XLOOKUP(E69,Flexibles!$C:$C,Flexibles!$H:$H,0)</f>
        <v>64</v>
      </c>
      <c r="H69" s="33">
        <f>_xlfn.XLOOKUP(E69,Flexibles!$C:$C,Flexibles!$G:$G,0)</f>
        <v>180</v>
      </c>
    </row>
    <row r="70" spans="2:8" x14ac:dyDescent="0.45">
      <c r="B70" s="3" t="s">
        <v>305</v>
      </c>
      <c r="C70" s="3" t="s">
        <v>84</v>
      </c>
      <c r="D70" s="3" t="s">
        <v>149</v>
      </c>
      <c r="E70" s="3" t="s">
        <v>101</v>
      </c>
      <c r="F70" s="31">
        <f>_xlfn.XLOOKUP(E70,Flexibles!$C:$C,Flexibles!$D:$D,0)</f>
        <v>950000</v>
      </c>
      <c r="G70" s="33">
        <f>_xlfn.XLOOKUP(E70,Flexibles!$C:$C,Flexibles!$H:$H,0)</f>
        <v>81</v>
      </c>
      <c r="H70" s="33">
        <f>_xlfn.XLOOKUP(E70,Flexibles!$C:$C,Flexibles!$G:$G,0)</f>
        <v>180</v>
      </c>
    </row>
    <row r="71" spans="2:8" x14ac:dyDescent="0.45">
      <c r="B71" s="3" t="s">
        <v>305</v>
      </c>
      <c r="C71" s="3" t="s">
        <v>102</v>
      </c>
      <c r="D71" s="3" t="s">
        <v>150</v>
      </c>
      <c r="E71" s="3" t="s">
        <v>103</v>
      </c>
      <c r="F71" s="31">
        <f>_xlfn.XLOOKUP(E71,Flexibles!$C:$C,Flexibles!$D:$D,0)</f>
        <v>1500000</v>
      </c>
      <c r="G71" s="33">
        <f>_xlfn.XLOOKUP(E71,Flexibles!$C:$C,Flexibles!$H:$H,0)</f>
        <v>81</v>
      </c>
      <c r="H71" s="33">
        <f>_xlfn.XLOOKUP(E71,Flexibles!$C:$C,Flexibles!$G:$G,0)</f>
        <v>150</v>
      </c>
    </row>
    <row r="72" spans="2:8" x14ac:dyDescent="0.45">
      <c r="B72" s="3" t="s">
        <v>305</v>
      </c>
      <c r="C72" s="3" t="s">
        <v>102</v>
      </c>
      <c r="D72" s="3" t="s">
        <v>150</v>
      </c>
      <c r="E72" s="3" t="s">
        <v>104</v>
      </c>
      <c r="F72" s="31">
        <f>_xlfn.XLOOKUP(E72,Flexibles!$C:$C,Flexibles!$D:$D,0)</f>
        <v>2000000</v>
      </c>
      <c r="G72" s="33">
        <f>_xlfn.XLOOKUP(E72,Flexibles!$C:$C,Flexibles!$H:$H,0)</f>
        <v>81</v>
      </c>
      <c r="H72" s="33">
        <f>_xlfn.XLOOKUP(E72,Flexibles!$C:$C,Flexibles!$G:$G,0)</f>
        <v>150</v>
      </c>
    </row>
    <row r="73" spans="2:8" x14ac:dyDescent="0.45">
      <c r="B73" s="3" t="s">
        <v>305</v>
      </c>
      <c r="C73" s="3" t="s">
        <v>102</v>
      </c>
      <c r="D73" s="3" t="s">
        <v>151</v>
      </c>
      <c r="E73" s="3" t="s">
        <v>105</v>
      </c>
      <c r="F73" s="31">
        <f>_xlfn.XLOOKUP(E73,Flexibles!$C:$C,Flexibles!$D:$D,0)</f>
        <v>2000000</v>
      </c>
      <c r="G73" s="33">
        <f>_xlfn.XLOOKUP(E73,Flexibles!$C:$C,Flexibles!$H:$H,0)</f>
        <v>81</v>
      </c>
      <c r="H73" s="33">
        <f>_xlfn.XLOOKUP(E73,Flexibles!$C:$C,Flexibles!$G:$G,0)</f>
        <v>150</v>
      </c>
    </row>
    <row r="74" spans="2:8" x14ac:dyDescent="0.45">
      <c r="B74" s="3" t="s">
        <v>305</v>
      </c>
      <c r="C74" s="3" t="s">
        <v>102</v>
      </c>
      <c r="D74" s="3" t="s">
        <v>151</v>
      </c>
      <c r="E74" s="3" t="s">
        <v>106</v>
      </c>
      <c r="F74" s="31">
        <f>_xlfn.XLOOKUP(E74,Flexibles!$C:$C,Flexibles!$D:$D,0)</f>
        <v>1250000</v>
      </c>
      <c r="G74" s="33">
        <f>_xlfn.XLOOKUP(E74,Flexibles!$C:$C,Flexibles!$H:$H,0)</f>
        <v>81</v>
      </c>
      <c r="H74" s="33">
        <f>_xlfn.XLOOKUP(E74,Flexibles!$C:$C,Flexibles!$G:$G,0)</f>
        <v>150</v>
      </c>
    </row>
    <row r="75" spans="2:8" x14ac:dyDescent="0.45">
      <c r="B75" s="3" t="s">
        <v>305</v>
      </c>
      <c r="C75" s="3" t="s">
        <v>102</v>
      </c>
      <c r="D75" s="3" t="s">
        <v>107</v>
      </c>
      <c r="E75" s="3" t="s">
        <v>107</v>
      </c>
      <c r="F75" s="31">
        <f>_xlfn.XLOOKUP(E75,Flexibles!$C:$C,Flexibles!$D:$D,0)</f>
        <v>1100000</v>
      </c>
      <c r="G75" s="33">
        <f>_xlfn.XLOOKUP(E75,Flexibles!$C:$C,Flexibles!$H:$H,0)</f>
        <v>64</v>
      </c>
      <c r="H75" s="33">
        <f>_xlfn.XLOOKUP(E75,Flexibles!$C:$C,Flexibles!$G:$G,0)</f>
        <v>150</v>
      </c>
    </row>
    <row r="76" spans="2:8" x14ac:dyDescent="0.45">
      <c r="B76" s="3" t="s">
        <v>305</v>
      </c>
      <c r="C76" s="3" t="s">
        <v>102</v>
      </c>
      <c r="D76" s="3" t="s">
        <v>108</v>
      </c>
      <c r="E76" s="3" t="s">
        <v>108</v>
      </c>
      <c r="F76" s="31">
        <f>_xlfn.XLOOKUP(E76,Flexibles!$C:$C,Flexibles!$D:$D,0)</f>
        <v>2000000</v>
      </c>
      <c r="G76" s="33">
        <f>_xlfn.XLOOKUP(E76,Flexibles!$C:$C,Flexibles!$H:$H,0)</f>
        <v>154</v>
      </c>
      <c r="H76" s="33">
        <f>_xlfn.XLOOKUP(E76,Flexibles!$C:$C,Flexibles!$G:$G,0)</f>
        <v>150</v>
      </c>
    </row>
    <row r="77" spans="2:8" x14ac:dyDescent="0.45">
      <c r="B77" s="3" t="s">
        <v>305</v>
      </c>
      <c r="C77" s="3" t="s">
        <v>102</v>
      </c>
      <c r="D77" s="3" t="s">
        <v>109</v>
      </c>
      <c r="E77" s="3" t="s">
        <v>109</v>
      </c>
      <c r="F77" s="31">
        <f>_xlfn.XLOOKUP(E77,Flexibles!$C:$C,Flexibles!$D:$D,0)</f>
        <v>2500000</v>
      </c>
      <c r="G77" s="33">
        <f>_xlfn.XLOOKUP(E77,Flexibles!$C:$C,Flexibles!$H:$H,0)</f>
        <v>154</v>
      </c>
      <c r="H77" s="33">
        <f>_xlfn.XLOOKUP(E77,Flexibles!$C:$C,Flexibles!$G:$G,0)</f>
        <v>150</v>
      </c>
    </row>
    <row r="78" spans="2:8" x14ac:dyDescent="0.45">
      <c r="B78" s="3" t="s">
        <v>305</v>
      </c>
      <c r="C78" s="3" t="s">
        <v>102</v>
      </c>
      <c r="D78" s="3" t="s">
        <v>110</v>
      </c>
      <c r="E78" s="3" t="s">
        <v>110</v>
      </c>
      <c r="F78" s="31">
        <f>_xlfn.XLOOKUP(E78,Flexibles!$C:$C,Flexibles!$D:$D,0)</f>
        <v>3500000</v>
      </c>
      <c r="G78" s="33">
        <f>_xlfn.XLOOKUP(E78,Flexibles!$C:$C,Flexibles!$H:$H,0)</f>
        <v>154</v>
      </c>
      <c r="H78" s="33">
        <f>_xlfn.XLOOKUP(E78,Flexibles!$C:$C,Flexibles!$G:$G,0)</f>
        <v>150</v>
      </c>
    </row>
    <row r="79" spans="2:8" x14ac:dyDescent="0.45">
      <c r="B79" s="3" t="s">
        <v>305</v>
      </c>
      <c r="C79" s="3" t="s">
        <v>111</v>
      </c>
      <c r="D79" s="3" t="s">
        <v>112</v>
      </c>
      <c r="E79" s="3" t="s">
        <v>112</v>
      </c>
      <c r="F79" s="31">
        <f>_xlfn.XLOOKUP(E79,Flexibles!$C:$C,Flexibles!$D:$D,0)</f>
        <v>2000000</v>
      </c>
      <c r="G79" s="33">
        <f>_xlfn.XLOOKUP(E79,Flexibles!$C:$C,Flexibles!$H:$H,0)</f>
        <v>15</v>
      </c>
      <c r="H79" s="33">
        <f>_xlfn.XLOOKUP(E79,Flexibles!$C:$C,Flexibles!$G:$G,0)</f>
        <v>160</v>
      </c>
    </row>
    <row r="80" spans="2:8" x14ac:dyDescent="0.45">
      <c r="B80" s="3" t="s">
        <v>305</v>
      </c>
      <c r="C80" s="3" t="s">
        <v>113</v>
      </c>
      <c r="D80" s="3" t="s">
        <v>152</v>
      </c>
      <c r="E80" s="3" t="s">
        <v>114</v>
      </c>
      <c r="F80" s="31">
        <f>_xlfn.XLOOKUP(E80,Flexibles!$C:$C,Flexibles!$D:$D,0)</f>
        <v>350000</v>
      </c>
      <c r="G80" s="33">
        <f>_xlfn.XLOOKUP(E80,Flexibles!$C:$C,Flexibles!$H:$H,0)</f>
        <v>90</v>
      </c>
      <c r="H80" s="33">
        <f>_xlfn.XLOOKUP(E80,Flexibles!$C:$C,Flexibles!$G:$G,0)</f>
        <v>100</v>
      </c>
    </row>
    <row r="81" spans="2:8" x14ac:dyDescent="0.45">
      <c r="B81" s="3" t="s">
        <v>305</v>
      </c>
      <c r="C81" s="3" t="s">
        <v>113</v>
      </c>
      <c r="D81" s="3" t="s">
        <v>152</v>
      </c>
      <c r="E81" s="3" t="s">
        <v>115</v>
      </c>
      <c r="F81" s="31">
        <f>_xlfn.XLOOKUP(E81,Flexibles!$C:$C,Flexibles!$D:$D,0)</f>
        <v>350000</v>
      </c>
      <c r="G81" s="33">
        <f>_xlfn.XLOOKUP(E81,Flexibles!$C:$C,Flexibles!$H:$H,0)</f>
        <v>90</v>
      </c>
      <c r="H81" s="33">
        <f>_xlfn.XLOOKUP(E81,Flexibles!$C:$C,Flexibles!$G:$G,0)</f>
        <v>100</v>
      </c>
    </row>
    <row r="82" spans="2:8" x14ac:dyDescent="0.45">
      <c r="B82" s="3" t="s">
        <v>305</v>
      </c>
      <c r="C82" s="3" t="s">
        <v>113</v>
      </c>
      <c r="D82" s="3" t="s">
        <v>152</v>
      </c>
      <c r="E82" s="3" t="s">
        <v>116</v>
      </c>
      <c r="F82" s="31">
        <f>_xlfn.XLOOKUP(E82,Flexibles!$C:$C,Flexibles!$D:$D,0)</f>
        <v>350000</v>
      </c>
      <c r="G82" s="33">
        <f>_xlfn.XLOOKUP(E82,Flexibles!$C:$C,Flexibles!$H:$H,0)</f>
        <v>90</v>
      </c>
      <c r="H82" s="33">
        <f>_xlfn.XLOOKUP(E82,Flexibles!$C:$C,Flexibles!$G:$G,0)</f>
        <v>100</v>
      </c>
    </row>
    <row r="83" spans="2:8" x14ac:dyDescent="0.45">
      <c r="B83" s="3" t="s">
        <v>305</v>
      </c>
      <c r="C83" s="3" t="s">
        <v>113</v>
      </c>
      <c r="D83" s="3" t="s">
        <v>153</v>
      </c>
      <c r="E83" s="3" t="s">
        <v>117</v>
      </c>
      <c r="F83" s="31">
        <f>_xlfn.XLOOKUP(E83,Flexibles!$C:$C,Flexibles!$D:$D,0)</f>
        <v>350000</v>
      </c>
      <c r="G83" s="33">
        <f>_xlfn.XLOOKUP(E83,Flexibles!$C:$C,Flexibles!$H:$H,0)</f>
        <v>90</v>
      </c>
      <c r="H83" s="33">
        <f>_xlfn.XLOOKUP(E83,Flexibles!$C:$C,Flexibles!$G:$G,0)</f>
        <v>100</v>
      </c>
    </row>
    <row r="84" spans="2:8" x14ac:dyDescent="0.45">
      <c r="B84" s="3" t="s">
        <v>305</v>
      </c>
      <c r="C84" s="3" t="s">
        <v>113</v>
      </c>
      <c r="D84" s="3" t="s">
        <v>153</v>
      </c>
      <c r="E84" s="3" t="s">
        <v>118</v>
      </c>
      <c r="F84" s="31">
        <f>_xlfn.XLOOKUP(E84,Flexibles!$C:$C,Flexibles!$D:$D,0)</f>
        <v>350000</v>
      </c>
      <c r="G84" s="33">
        <f>_xlfn.XLOOKUP(E84,Flexibles!$C:$C,Flexibles!$H:$H,0)</f>
        <v>90</v>
      </c>
      <c r="H84" s="33">
        <f>_xlfn.XLOOKUP(E84,Flexibles!$C:$C,Flexibles!$G:$G,0)</f>
        <v>100</v>
      </c>
    </row>
    <row r="85" spans="2:8" x14ac:dyDescent="0.45">
      <c r="B85" s="3" t="s">
        <v>305</v>
      </c>
      <c r="C85" s="3" t="s">
        <v>113</v>
      </c>
      <c r="D85" s="3" t="s">
        <v>154</v>
      </c>
      <c r="E85" s="3" t="s">
        <v>119</v>
      </c>
      <c r="F85" s="31">
        <f>_xlfn.XLOOKUP(E85,Flexibles!$C:$C,Flexibles!$D:$D,0)</f>
        <v>150000</v>
      </c>
      <c r="G85" s="33">
        <f>_xlfn.XLOOKUP(E85,Flexibles!$C:$C,Flexibles!$H:$H,0)</f>
        <v>150</v>
      </c>
      <c r="H85" s="33">
        <f>_xlfn.XLOOKUP(E85,Flexibles!$C:$C,Flexibles!$G:$G,0)</f>
        <v>100</v>
      </c>
    </row>
    <row r="86" spans="2:8" x14ac:dyDescent="0.45">
      <c r="B86" s="3" t="s">
        <v>305</v>
      </c>
      <c r="C86" s="3" t="s">
        <v>113</v>
      </c>
      <c r="D86" s="3" t="s">
        <v>154</v>
      </c>
      <c r="E86" s="3" t="s">
        <v>120</v>
      </c>
      <c r="F86" s="31">
        <f>_xlfn.XLOOKUP(E86,Flexibles!$C:$C,Flexibles!$D:$D,0)</f>
        <v>250000</v>
      </c>
      <c r="G86" s="33">
        <f>_xlfn.XLOOKUP(E86,Flexibles!$C:$C,Flexibles!$H:$H,0)</f>
        <v>150</v>
      </c>
      <c r="H86" s="33">
        <f>_xlfn.XLOOKUP(E86,Flexibles!$C:$C,Flexibles!$G:$G,0)</f>
        <v>100</v>
      </c>
    </row>
    <row r="87" spans="2:8" x14ac:dyDescent="0.45">
      <c r="B87" s="3" t="s">
        <v>305</v>
      </c>
      <c r="C87" s="3" t="s">
        <v>113</v>
      </c>
      <c r="D87" s="3" t="s">
        <v>154</v>
      </c>
      <c r="E87" s="3" t="s">
        <v>121</v>
      </c>
      <c r="F87" s="31">
        <f>_xlfn.XLOOKUP(E87,Flexibles!$C:$C,Flexibles!$D:$D,0)</f>
        <v>350000</v>
      </c>
      <c r="G87" s="33">
        <f>_xlfn.XLOOKUP(E87,Flexibles!$C:$C,Flexibles!$H:$H,0)</f>
        <v>150</v>
      </c>
      <c r="H87" s="33">
        <f>_xlfn.XLOOKUP(E87,Flexibles!$C:$C,Flexibles!$G:$G,0)</f>
        <v>100</v>
      </c>
    </row>
    <row r="88" spans="2:8" x14ac:dyDescent="0.45">
      <c r="B88" s="3" t="s">
        <v>305</v>
      </c>
      <c r="C88" s="3" t="s">
        <v>113</v>
      </c>
      <c r="D88" s="3" t="s">
        <v>155</v>
      </c>
      <c r="E88" s="3" t="s">
        <v>122</v>
      </c>
      <c r="F88" s="31">
        <f>_xlfn.XLOOKUP(E88,Flexibles!$C:$C,Flexibles!$D:$D,0)</f>
        <v>500000</v>
      </c>
      <c r="G88" s="33">
        <f>_xlfn.XLOOKUP(E88,Flexibles!$C:$C,Flexibles!$H:$H,0)</f>
        <v>100</v>
      </c>
      <c r="H88" s="33">
        <f>_xlfn.XLOOKUP(E88,Flexibles!$C:$C,Flexibles!$G:$G,0)</f>
        <v>100</v>
      </c>
    </row>
    <row r="89" spans="2:8" x14ac:dyDescent="0.45">
      <c r="B89" s="3" t="s">
        <v>305</v>
      </c>
      <c r="C89" s="3" t="s">
        <v>113</v>
      </c>
      <c r="D89" s="3" t="s">
        <v>155</v>
      </c>
      <c r="E89" s="3" t="s">
        <v>123</v>
      </c>
      <c r="F89" s="31">
        <f>_xlfn.XLOOKUP(E89,Flexibles!$C:$C,Flexibles!$D:$D,0)</f>
        <v>500000</v>
      </c>
      <c r="G89" s="33">
        <f>_xlfn.XLOOKUP(E89,Flexibles!$C:$C,Flexibles!$H:$H,0)</f>
        <v>100</v>
      </c>
      <c r="H89" s="33">
        <f>_xlfn.XLOOKUP(E89,Flexibles!$C:$C,Flexibles!$G:$G,0)</f>
        <v>100</v>
      </c>
    </row>
    <row r="90" spans="2:8" x14ac:dyDescent="0.45">
      <c r="B90" s="3" t="s">
        <v>305</v>
      </c>
      <c r="C90" s="3" t="s">
        <v>124</v>
      </c>
      <c r="D90" s="3" t="s">
        <v>152</v>
      </c>
      <c r="E90" s="3" t="s">
        <v>125</v>
      </c>
      <c r="F90" s="31">
        <f>_xlfn.XLOOKUP(E90,Flexibles!$C:$C,Flexibles!$D:$D,0)</f>
        <v>500000</v>
      </c>
      <c r="G90" s="33">
        <f>_xlfn.XLOOKUP(E90,Flexibles!$C:$C,Flexibles!$H:$H,0)</f>
        <v>140</v>
      </c>
      <c r="H90" s="33">
        <f>_xlfn.XLOOKUP(E90,Flexibles!$C:$C,Flexibles!$G:$G,0)</f>
        <v>50</v>
      </c>
    </row>
    <row r="91" spans="2:8" x14ac:dyDescent="0.45">
      <c r="B91" s="3" t="s">
        <v>305</v>
      </c>
      <c r="C91" s="3" t="s">
        <v>124</v>
      </c>
      <c r="D91" s="3" t="s">
        <v>153</v>
      </c>
      <c r="E91" s="3" t="s">
        <v>126</v>
      </c>
      <c r="F91" s="31">
        <f>_xlfn.XLOOKUP(E91,Flexibles!$C:$C,Flexibles!$D:$D,0)</f>
        <v>500000</v>
      </c>
      <c r="G91" s="33">
        <f>_xlfn.XLOOKUP(E91,Flexibles!$C:$C,Flexibles!$H:$H,0)</f>
        <v>140</v>
      </c>
      <c r="H91" s="33">
        <f>_xlfn.XLOOKUP(E91,Flexibles!$C:$C,Flexibles!$G:$G,0)</f>
        <v>50</v>
      </c>
    </row>
    <row r="92" spans="2:8" x14ac:dyDescent="0.45">
      <c r="B92" s="3" t="s">
        <v>305</v>
      </c>
      <c r="C92" s="3" t="s">
        <v>124</v>
      </c>
      <c r="D92" s="3" t="s">
        <v>156</v>
      </c>
      <c r="E92" s="3" t="s">
        <v>127</v>
      </c>
      <c r="F92" s="31">
        <f>_xlfn.XLOOKUP(E92,Flexibles!$C:$C,Flexibles!$D:$D,0)</f>
        <v>700000</v>
      </c>
      <c r="G92" s="33">
        <f>_xlfn.XLOOKUP(E92,Flexibles!$C:$C,Flexibles!$H:$H,0)</f>
        <v>140</v>
      </c>
      <c r="H92" s="33">
        <f>_xlfn.XLOOKUP(E92,Flexibles!$C:$C,Flexibles!$G:$G,0)</f>
        <v>50</v>
      </c>
    </row>
    <row r="93" spans="2:8" x14ac:dyDescent="0.45">
      <c r="B93" s="3" t="s">
        <v>305</v>
      </c>
      <c r="C93" s="3" t="s">
        <v>124</v>
      </c>
      <c r="D93" s="3" t="s">
        <v>155</v>
      </c>
      <c r="E93" s="3" t="s">
        <v>128</v>
      </c>
      <c r="F93" s="31">
        <f>_xlfn.XLOOKUP(E93,Flexibles!$C:$C,Flexibles!$D:$D,0)</f>
        <v>700000</v>
      </c>
      <c r="G93" s="33">
        <f>_xlfn.XLOOKUP(E93,Flexibles!$C:$C,Flexibles!$H:$H,0)</f>
        <v>140</v>
      </c>
      <c r="H93" s="33">
        <f>_xlfn.XLOOKUP(E93,Flexibles!$C:$C,Flexibles!$G:$G,0)</f>
        <v>50</v>
      </c>
    </row>
    <row r="94" spans="2:8" x14ac:dyDescent="0.45">
      <c r="B94" s="3" t="s">
        <v>305</v>
      </c>
      <c r="C94" s="3" t="s">
        <v>124</v>
      </c>
      <c r="D94" s="3" t="s">
        <v>155</v>
      </c>
      <c r="E94" s="3" t="s">
        <v>129</v>
      </c>
      <c r="F94" s="31">
        <f>_xlfn.XLOOKUP(E94,Flexibles!$C:$C,Flexibles!$D:$D,0)</f>
        <v>1000000</v>
      </c>
      <c r="G94" s="33">
        <f>_xlfn.XLOOKUP(E94,Flexibles!$C:$C,Flexibles!$H:$H,0)</f>
        <v>140</v>
      </c>
      <c r="H94" s="33">
        <f>_xlfn.XLOOKUP(E94,Flexibles!$C:$C,Flexibles!$G:$G,0)</f>
        <v>50</v>
      </c>
    </row>
    <row r="95" spans="2:8" x14ac:dyDescent="0.45">
      <c r="B95" s="3" t="s">
        <v>305</v>
      </c>
      <c r="C95" s="3" t="s">
        <v>130</v>
      </c>
      <c r="D95" s="3" t="s">
        <v>131</v>
      </c>
      <c r="E95" s="3" t="s">
        <v>131</v>
      </c>
      <c r="F95" s="31">
        <f>_xlfn.XLOOKUP(E95,Flexibles!$C:$C,Flexibles!$D:$D,0)</f>
        <v>150000</v>
      </c>
      <c r="G95" s="33">
        <f>_xlfn.XLOOKUP(E95,Flexibles!$C:$C,Flexibles!$H:$H,0)</f>
        <v>40</v>
      </c>
      <c r="H95" s="33">
        <f>_xlfn.XLOOKUP(E95,Flexibles!$C:$C,Flexibles!$G:$G,0)</f>
        <v>50</v>
      </c>
    </row>
    <row r="96" spans="2:8" x14ac:dyDescent="0.45">
      <c r="B96" s="3" t="s">
        <v>305</v>
      </c>
      <c r="C96" s="3" t="s">
        <v>130</v>
      </c>
      <c r="D96" s="3" t="s">
        <v>157</v>
      </c>
      <c r="E96" s="3" t="s">
        <v>132</v>
      </c>
      <c r="F96" s="31">
        <f>_xlfn.XLOOKUP(E96,Flexibles!$C:$C,Flexibles!$D:$D,0)</f>
        <v>300000</v>
      </c>
      <c r="G96" s="33">
        <f>_xlfn.XLOOKUP(E96,Flexibles!$C:$C,Flexibles!$H:$H,0)</f>
        <v>21</v>
      </c>
      <c r="H96" s="33">
        <f>_xlfn.XLOOKUP(E96,Flexibles!$C:$C,Flexibles!$G:$G,0)</f>
        <v>50</v>
      </c>
    </row>
    <row r="97" spans="2:8" x14ac:dyDescent="0.45">
      <c r="B97" s="3" t="s">
        <v>305</v>
      </c>
      <c r="C97" s="3" t="s">
        <v>130</v>
      </c>
      <c r="D97" s="3" t="s">
        <v>157</v>
      </c>
      <c r="E97" s="3" t="s">
        <v>133</v>
      </c>
      <c r="F97" s="31">
        <f>_xlfn.XLOOKUP(E97,Flexibles!$C:$C,Flexibles!$D:$D,0)</f>
        <v>550000</v>
      </c>
      <c r="G97" s="33">
        <f>_xlfn.XLOOKUP(E97,Flexibles!$C:$C,Flexibles!$H:$H,0)</f>
        <v>21</v>
      </c>
      <c r="H97" s="33">
        <f>_xlfn.XLOOKUP(E97,Flexibles!$C:$C,Flexibles!$G:$G,0)</f>
        <v>50</v>
      </c>
    </row>
    <row r="98" spans="2:8" x14ac:dyDescent="0.45">
      <c r="B98" s="3" t="s">
        <v>305</v>
      </c>
      <c r="C98" s="3" t="s">
        <v>130</v>
      </c>
      <c r="D98" s="3" t="s">
        <v>157</v>
      </c>
      <c r="E98" s="3" t="s">
        <v>134</v>
      </c>
      <c r="F98" s="31">
        <f>_xlfn.XLOOKUP(E98,Flexibles!$C:$C,Flexibles!$D:$D,0)</f>
        <v>150000</v>
      </c>
      <c r="G98" s="33">
        <f>_xlfn.XLOOKUP(E98,Flexibles!$C:$C,Flexibles!$H:$H,0)</f>
        <v>21</v>
      </c>
      <c r="H98" s="33">
        <f>_xlfn.XLOOKUP(E98,Flexibles!$C:$C,Flexibles!$G:$G,0)</f>
        <v>50</v>
      </c>
    </row>
    <row r="99" spans="2:8" x14ac:dyDescent="0.45">
      <c r="B99" s="3" t="s">
        <v>305</v>
      </c>
      <c r="C99" s="3" t="s">
        <v>130</v>
      </c>
      <c r="D99" s="3" t="s">
        <v>157</v>
      </c>
      <c r="E99" s="3" t="s">
        <v>135</v>
      </c>
      <c r="F99" s="31">
        <f>_xlfn.XLOOKUP(E99,Flexibles!$C:$C,Flexibles!$D:$D,0)</f>
        <v>650000</v>
      </c>
      <c r="G99" s="33">
        <f>_xlfn.XLOOKUP(E99,Flexibles!$C:$C,Flexibles!$H:$H,0)</f>
        <v>21</v>
      </c>
      <c r="H99" s="33">
        <f>_xlfn.XLOOKUP(E99,Flexibles!$C:$C,Flexibles!$G:$G,0)</f>
        <v>50</v>
      </c>
    </row>
    <row r="100" spans="2:8" x14ac:dyDescent="0.45">
      <c r="B100" s="3" t="s">
        <v>305</v>
      </c>
      <c r="C100" s="3" t="s">
        <v>130</v>
      </c>
      <c r="D100" s="3" t="s">
        <v>157</v>
      </c>
      <c r="E100" s="3" t="s">
        <v>136</v>
      </c>
      <c r="F100" s="31">
        <f>_xlfn.XLOOKUP(E100,Flexibles!$C:$C,Flexibles!$D:$D,0)</f>
        <v>850000</v>
      </c>
      <c r="G100" s="33">
        <f>_xlfn.XLOOKUP(E100,Flexibles!$C:$C,Flexibles!$H:$H,0)</f>
        <v>21</v>
      </c>
      <c r="H100" s="33">
        <f>_xlfn.XLOOKUP(E100,Flexibles!$C:$C,Flexibles!$G:$G,0)</f>
        <v>50</v>
      </c>
    </row>
    <row r="101" spans="2:8" x14ac:dyDescent="0.45">
      <c r="B101" s="3" t="s">
        <v>305</v>
      </c>
      <c r="C101" s="3" t="s">
        <v>130</v>
      </c>
      <c r="D101" s="3" t="s">
        <v>112</v>
      </c>
      <c r="E101" s="3" t="s">
        <v>137</v>
      </c>
      <c r="F101" s="31">
        <f>_xlfn.XLOOKUP(E101,Flexibles!$C:$C,Flexibles!$D:$D,0)</f>
        <v>150000</v>
      </c>
      <c r="G101" s="33">
        <f>_xlfn.XLOOKUP(E101,Flexibles!$C:$C,Flexibles!$H:$H,0)</f>
        <v>15</v>
      </c>
      <c r="H101" s="33">
        <f>_xlfn.XLOOKUP(E101,Flexibles!$C:$C,Flexibles!$G:$G,0)</f>
        <v>50</v>
      </c>
    </row>
    <row r="102" spans="2:8" x14ac:dyDescent="0.45">
      <c r="B102" s="3" t="s">
        <v>305</v>
      </c>
      <c r="C102" s="3" t="s">
        <v>130</v>
      </c>
      <c r="D102" s="3" t="s">
        <v>158</v>
      </c>
      <c r="E102" s="3" t="s">
        <v>138</v>
      </c>
      <c r="F102" s="31">
        <f>_xlfn.XLOOKUP(E102,Flexibles!$C:$C,Flexibles!$D:$D,0)</f>
        <v>250000</v>
      </c>
      <c r="G102" s="33">
        <f>_xlfn.XLOOKUP(E102,Flexibles!$C:$C,Flexibles!$H:$H,0)</f>
        <v>15</v>
      </c>
      <c r="H102" s="33">
        <f>_xlfn.XLOOKUP(E102,Flexibles!$C:$C,Flexibles!$G:$G,0)</f>
        <v>50</v>
      </c>
    </row>
    <row r="103" spans="2:8" x14ac:dyDescent="0.45">
      <c r="B103" s="3" t="s">
        <v>305</v>
      </c>
      <c r="C103" s="3" t="s">
        <v>130</v>
      </c>
      <c r="D103" s="3" t="s">
        <v>158</v>
      </c>
      <c r="E103" s="3" t="s">
        <v>139</v>
      </c>
      <c r="F103" s="31">
        <f>_xlfn.XLOOKUP(E103,Flexibles!$C:$C,Flexibles!$D:$D,0)</f>
        <v>200000</v>
      </c>
      <c r="G103" s="33">
        <f>_xlfn.XLOOKUP(E103,Flexibles!$C:$C,Flexibles!$H:$H,0)</f>
        <v>45</v>
      </c>
      <c r="H103" s="33">
        <f>_xlfn.XLOOKUP(E103,Flexibles!$C:$C,Flexibles!$G:$G,0)</f>
        <v>50</v>
      </c>
    </row>
    <row r="104" spans="2:8" x14ac:dyDescent="0.45">
      <c r="B104" s="3" t="s">
        <v>305</v>
      </c>
      <c r="C104" s="3" t="s">
        <v>130</v>
      </c>
      <c r="D104" s="3" t="s">
        <v>158</v>
      </c>
      <c r="E104" s="3" t="s">
        <v>140</v>
      </c>
      <c r="F104" s="31">
        <f>_xlfn.XLOOKUP(E104,Flexibles!$C:$C,Flexibles!$D:$D,0)</f>
        <v>350000</v>
      </c>
      <c r="G104" s="33">
        <f>_xlfn.XLOOKUP(E104,Flexibles!$C:$C,Flexibles!$H:$H,0)</f>
        <v>45</v>
      </c>
      <c r="H104" s="33">
        <f>_xlfn.XLOOKUP(E104,Flexibles!$C:$C,Flexibles!$G:$G,0)</f>
        <v>50</v>
      </c>
    </row>
    <row r="105" spans="2:8" x14ac:dyDescent="0.45">
      <c r="B105" s="3" t="s">
        <v>305</v>
      </c>
      <c r="C105" s="3" t="s">
        <v>141</v>
      </c>
      <c r="D105" s="3" t="s">
        <v>159</v>
      </c>
      <c r="E105" s="3" t="s">
        <v>142</v>
      </c>
      <c r="F105" s="31">
        <f>_xlfn.XLOOKUP(E105,Flexibles!$C:$C,Flexibles!$D:$D,0)</f>
        <v>650000</v>
      </c>
      <c r="G105" s="33">
        <f>_xlfn.XLOOKUP(E105,Flexibles!$C:$C,Flexibles!$H:$H,0)</f>
        <v>21</v>
      </c>
      <c r="H105" s="33">
        <f>_xlfn.XLOOKUP(E105,Flexibles!$C:$C,Flexibles!$G:$G,0)</f>
        <v>55</v>
      </c>
    </row>
    <row r="106" spans="2:8" x14ac:dyDescent="0.45">
      <c r="B106" s="3" t="s">
        <v>305</v>
      </c>
      <c r="C106" s="3" t="s">
        <v>141</v>
      </c>
      <c r="D106" s="3" t="s">
        <v>143</v>
      </c>
      <c r="E106" s="3" t="s">
        <v>143</v>
      </c>
      <c r="F106" s="31">
        <f>_xlfn.XLOOKUP(E106,Flexibles!$C:$C,Flexibles!$D:$D,0)</f>
        <v>100000</v>
      </c>
      <c r="G106" s="33">
        <f>_xlfn.XLOOKUP(E106,Flexibles!$C:$C,Flexibles!$H:$H,0)</f>
        <v>32</v>
      </c>
      <c r="H106" s="33">
        <f>_xlfn.XLOOKUP(E106,Flexibles!$C:$C,Flexibles!$G:$G,0)</f>
        <v>55</v>
      </c>
    </row>
    <row r="107" spans="2:8" x14ac:dyDescent="0.45">
      <c r="B107" s="3" t="s">
        <v>305</v>
      </c>
      <c r="C107" s="3" t="s">
        <v>141</v>
      </c>
      <c r="D107" s="3" t="s">
        <v>329</v>
      </c>
      <c r="E107" s="3" t="s">
        <v>328</v>
      </c>
      <c r="F107" s="31">
        <f>_xlfn.XLOOKUP(E107,Flexibles!$C:$C,Flexibles!$D:$D,0)</f>
        <v>90000</v>
      </c>
      <c r="G107" s="33">
        <f>_xlfn.XLOOKUP(E107,Flexibles!$C:$C,Flexibles!$H:$H,0)</f>
        <v>32</v>
      </c>
      <c r="H107" s="33">
        <f>_xlfn.XLOOKUP(E107,Flexibles!$C:$C,Flexibles!$G:$G,0)</f>
        <v>45.5</v>
      </c>
    </row>
    <row r="108" spans="2:8" x14ac:dyDescent="0.45">
      <c r="B108" s="3" t="s">
        <v>305</v>
      </c>
      <c r="C108" s="3" t="s">
        <v>338</v>
      </c>
      <c r="D108" s="3" t="s">
        <v>112</v>
      </c>
      <c r="E108" s="3" t="s">
        <v>330</v>
      </c>
      <c r="F108" s="31">
        <f>_xlfn.XLOOKUP(E108,Flexibles!$C:$C,Flexibles!$D:$D,0)</f>
        <v>45000</v>
      </c>
      <c r="G108" s="33">
        <f>_xlfn.XLOOKUP(E108,Flexibles!$C:$C,Flexibles!$H:$H,0)</f>
        <v>20</v>
      </c>
      <c r="H108" s="33">
        <f>_xlfn.XLOOKUP(E108,Flexibles!$C:$C,Flexibles!$G:$G,0)</f>
        <v>8</v>
      </c>
    </row>
    <row r="109" spans="2:8" x14ac:dyDescent="0.45">
      <c r="B109" s="3" t="s">
        <v>305</v>
      </c>
      <c r="C109" s="3" t="s">
        <v>338</v>
      </c>
      <c r="D109" s="3" t="s">
        <v>335</v>
      </c>
      <c r="E109" s="3" t="s">
        <v>331</v>
      </c>
      <c r="F109" s="31">
        <f>_xlfn.XLOOKUP(E109,Flexibles!$C:$C,Flexibles!$D:$D,0)</f>
        <v>45000</v>
      </c>
      <c r="G109" s="33">
        <f>_xlfn.XLOOKUP(E109,Flexibles!$C:$C,Flexibles!$H:$H,0)</f>
        <v>20</v>
      </c>
      <c r="H109" s="33">
        <f>_xlfn.XLOOKUP(E109,Flexibles!$C:$C,Flexibles!$G:$G,0)</f>
        <v>8</v>
      </c>
    </row>
    <row r="110" spans="2:8" x14ac:dyDescent="0.45">
      <c r="B110" s="3" t="s">
        <v>305</v>
      </c>
      <c r="C110" s="3" t="s">
        <v>338</v>
      </c>
      <c r="D110" s="3" t="s">
        <v>336</v>
      </c>
      <c r="E110" s="3" t="s">
        <v>332</v>
      </c>
      <c r="F110" s="31">
        <f>_xlfn.XLOOKUP(E110,Flexibles!$C:$C,Flexibles!$D:$D,0)</f>
        <v>40000</v>
      </c>
      <c r="G110" s="33">
        <f>_xlfn.XLOOKUP(E110,Flexibles!$C:$C,Flexibles!$H:$H,0)</f>
        <v>20</v>
      </c>
      <c r="H110" s="33">
        <f>_xlfn.XLOOKUP(E110,Flexibles!$C:$C,Flexibles!$G:$G,0)</f>
        <v>8</v>
      </c>
    </row>
    <row r="111" spans="2:8" x14ac:dyDescent="0.45">
      <c r="B111" s="3" t="s">
        <v>305</v>
      </c>
      <c r="C111" s="3" t="s">
        <v>338</v>
      </c>
      <c r="D111" s="3" t="s">
        <v>329</v>
      </c>
      <c r="E111" s="3" t="s">
        <v>333</v>
      </c>
      <c r="F111" s="31">
        <f>_xlfn.XLOOKUP(E111,Flexibles!$C:$C,Flexibles!$D:$D,0)</f>
        <v>35000</v>
      </c>
      <c r="G111" s="33">
        <f>_xlfn.XLOOKUP(E111,Flexibles!$C:$C,Flexibles!$H:$H,0)</f>
        <v>20</v>
      </c>
      <c r="H111" s="33">
        <f>_xlfn.XLOOKUP(E111,Flexibles!$C:$C,Flexibles!$G:$G,0)</f>
        <v>8</v>
      </c>
    </row>
    <row r="112" spans="2:8" x14ac:dyDescent="0.45">
      <c r="B112" s="3" t="s">
        <v>305</v>
      </c>
      <c r="C112" s="3" t="s">
        <v>338</v>
      </c>
      <c r="D112" s="3" t="s">
        <v>337</v>
      </c>
      <c r="E112" s="3" t="s">
        <v>334</v>
      </c>
      <c r="F112" s="31">
        <f>_xlfn.XLOOKUP(E112,Flexibles!$C:$C,Flexibles!$D:$D,0)</f>
        <v>20000</v>
      </c>
      <c r="G112" s="33">
        <f>_xlfn.XLOOKUP(E112,Flexibles!$C:$C,Flexibles!$H:$H,0)</f>
        <v>20</v>
      </c>
      <c r="H112" s="33">
        <f>_xlfn.XLOOKUP(E112,Flexibles!$C:$C,Flexibles!$G:$G,0)</f>
        <v>8</v>
      </c>
    </row>
    <row r="113" spans="2:8" x14ac:dyDescent="0.45">
      <c r="B113" s="3" t="s">
        <v>305</v>
      </c>
      <c r="C113" s="3" t="s">
        <v>339</v>
      </c>
      <c r="D113" s="3" t="s">
        <v>340</v>
      </c>
      <c r="E113" s="3" t="s">
        <v>341</v>
      </c>
      <c r="F113" s="31">
        <f>_xlfn.XLOOKUP(E113,Flexibles!$C:$C,Flexibles!$D:$D,0)</f>
        <v>2000000</v>
      </c>
      <c r="G113" s="33">
        <f>_xlfn.XLOOKUP(E113,Flexibles!$C:$C,Flexibles!$H:$H,0)</f>
        <v>230</v>
      </c>
      <c r="H113" s="33">
        <f>_xlfn.XLOOKUP(E113,Flexibles!$C:$C,Flexibles!$G:$G,0)</f>
        <v>380</v>
      </c>
    </row>
    <row r="114" spans="2:8" x14ac:dyDescent="0.45">
      <c r="B114" s="3" t="s">
        <v>305</v>
      </c>
      <c r="C114" s="3" t="s">
        <v>339</v>
      </c>
      <c r="D114" s="3" t="s">
        <v>340</v>
      </c>
      <c r="E114" s="3" t="s">
        <v>342</v>
      </c>
      <c r="F114" s="31">
        <f>_xlfn.XLOOKUP(E114,Flexibles!$C:$C,Flexibles!$D:$D,0)</f>
        <v>2500000</v>
      </c>
      <c r="G114" s="33">
        <f>_xlfn.XLOOKUP(E114,Flexibles!$C:$C,Flexibles!$H:$H,0)</f>
        <v>260</v>
      </c>
      <c r="H114" s="33">
        <f>_xlfn.XLOOKUP(E114,Flexibles!$C:$C,Flexibles!$G:$G,0)</f>
        <v>450</v>
      </c>
    </row>
    <row r="115" spans="2:8" x14ac:dyDescent="0.45">
      <c r="B115" s="3" t="s">
        <v>305</v>
      </c>
      <c r="C115" s="3" t="s">
        <v>339</v>
      </c>
      <c r="D115" s="3" t="s">
        <v>340</v>
      </c>
      <c r="E115" s="3" t="s">
        <v>343</v>
      </c>
      <c r="F115" s="31">
        <f>_xlfn.XLOOKUP(E115,Flexibles!$C:$C,Flexibles!$D:$D,0)</f>
        <v>3500000</v>
      </c>
      <c r="G115" s="33">
        <f>_xlfn.XLOOKUP(E115,Flexibles!$C:$C,Flexibles!$H:$H,0)</f>
        <v>300</v>
      </c>
      <c r="H115" s="33">
        <f>_xlfn.XLOOKUP(E115,Flexibles!$C:$C,Flexibles!$G:$G,0)</f>
        <v>550</v>
      </c>
    </row>
    <row r="116" spans="2:8" x14ac:dyDescent="0.45">
      <c r="B116" s="3" t="s">
        <v>305</v>
      </c>
      <c r="C116" s="3" t="s">
        <v>339</v>
      </c>
      <c r="D116" s="3" t="s">
        <v>344</v>
      </c>
      <c r="E116" s="3" t="s">
        <v>345</v>
      </c>
      <c r="F116" s="31">
        <f>_xlfn.XLOOKUP(E116,Flexibles!$C:$C,Flexibles!$D:$D,0)</f>
        <v>2200000</v>
      </c>
      <c r="G116" s="33">
        <f>_xlfn.XLOOKUP(E116,Flexibles!$C:$C,Flexibles!$H:$H,0)</f>
        <v>230</v>
      </c>
      <c r="H116" s="33">
        <f>_xlfn.XLOOKUP(E116,Flexibles!$C:$C,Flexibles!$G:$G,0)</f>
        <v>400</v>
      </c>
    </row>
    <row r="117" spans="2:8" x14ac:dyDescent="0.45">
      <c r="B117" s="3" t="s">
        <v>305</v>
      </c>
      <c r="C117" s="3" t="s">
        <v>339</v>
      </c>
      <c r="D117" s="3" t="s">
        <v>344</v>
      </c>
      <c r="E117" s="3" t="s">
        <v>346</v>
      </c>
      <c r="F117" s="31">
        <f>_xlfn.XLOOKUP(E117,Flexibles!$C:$C,Flexibles!$D:$D,0)</f>
        <v>3000000</v>
      </c>
      <c r="G117" s="33">
        <f>_xlfn.XLOOKUP(E117,Flexibles!$C:$C,Flexibles!$H:$H,0)</f>
        <v>270</v>
      </c>
      <c r="H117" s="33">
        <f>_xlfn.XLOOKUP(E117,Flexibles!$C:$C,Flexibles!$G:$G,0)</f>
        <v>480</v>
      </c>
    </row>
    <row r="118" spans="2:8" x14ac:dyDescent="0.45">
      <c r="B118" s="3" t="s">
        <v>305</v>
      </c>
      <c r="C118" s="3" t="s">
        <v>339</v>
      </c>
      <c r="D118" s="3" t="s">
        <v>347</v>
      </c>
      <c r="E118" s="3" t="s">
        <v>348</v>
      </c>
      <c r="F118" s="31">
        <f>_xlfn.XLOOKUP(E118,Flexibles!$C:$C,Flexibles!$D:$D,0)</f>
        <v>1200000</v>
      </c>
      <c r="G118" s="33">
        <f>_xlfn.XLOOKUP(E118,Flexibles!$C:$C,Flexibles!$H:$H,0)</f>
        <v>210</v>
      </c>
      <c r="H118" s="33">
        <f>_xlfn.XLOOKUP(E118,Flexibles!$C:$C,Flexibles!$G:$G,0)</f>
        <v>360</v>
      </c>
    </row>
    <row r="119" spans="2:8" x14ac:dyDescent="0.45">
      <c r="B119" s="3" t="s">
        <v>305</v>
      </c>
      <c r="C119" s="3" t="s">
        <v>339</v>
      </c>
      <c r="D119" s="3" t="s">
        <v>347</v>
      </c>
      <c r="E119" s="3" t="s">
        <v>349</v>
      </c>
      <c r="F119" s="31">
        <f>_xlfn.XLOOKUP(E119,Flexibles!$C:$C,Flexibles!$D:$D,0)</f>
        <v>1800000</v>
      </c>
      <c r="G119" s="33">
        <f>_xlfn.XLOOKUP(E119,Flexibles!$C:$C,Flexibles!$H:$H,0)</f>
        <v>240</v>
      </c>
      <c r="H119" s="33">
        <f>_xlfn.XLOOKUP(E119,Flexibles!$C:$C,Flexibles!$G:$G,0)</f>
        <v>420</v>
      </c>
    </row>
    <row r="120" spans="2:8" x14ac:dyDescent="0.45">
      <c r="B120" s="3" t="s">
        <v>305</v>
      </c>
      <c r="C120" s="3" t="s">
        <v>358</v>
      </c>
      <c r="D120" s="3" t="s">
        <v>158</v>
      </c>
      <c r="E120" s="3" t="s">
        <v>359</v>
      </c>
      <c r="F120" s="31">
        <f>_xlfn.XLOOKUP(E120,Flexibles!$C:$C,Flexibles!$D:$D,0)</f>
        <v>100000</v>
      </c>
      <c r="G120" s="33">
        <f>_xlfn.XLOOKUP(E120,Flexibles!$C:$C,Flexibles!$H:$H,0)</f>
        <v>9.6</v>
      </c>
      <c r="H120" s="33">
        <f>_xlfn.XLOOKUP(E120,Flexibles!$C:$C,Flexibles!$G:$G,0)</f>
        <v>12</v>
      </c>
    </row>
    <row r="121" spans="2:8" x14ac:dyDescent="0.45">
      <c r="B121" s="3" t="s">
        <v>305</v>
      </c>
      <c r="C121" s="3" t="s">
        <v>358</v>
      </c>
      <c r="D121" s="3" t="s">
        <v>158</v>
      </c>
      <c r="E121" s="3" t="s">
        <v>360</v>
      </c>
      <c r="F121" s="31">
        <f>_xlfn.XLOOKUP(E121,Flexibles!$C:$C,Flexibles!$D:$D,0)</f>
        <v>180000</v>
      </c>
      <c r="G121" s="33">
        <f>_xlfn.XLOOKUP(E121,Flexibles!$C:$C,Flexibles!$H:$H,0)</f>
        <v>9.6</v>
      </c>
      <c r="H121" s="33">
        <f>_xlfn.XLOOKUP(E121,Flexibles!$C:$C,Flexibles!$G:$G,0)</f>
        <v>12</v>
      </c>
    </row>
    <row r="122" spans="2:8" x14ac:dyDescent="0.45">
      <c r="B122" s="3" t="s">
        <v>305</v>
      </c>
      <c r="C122" s="3" t="s">
        <v>358</v>
      </c>
      <c r="D122" s="3" t="s">
        <v>361</v>
      </c>
      <c r="E122" s="3" t="s">
        <v>362</v>
      </c>
      <c r="F122" s="31">
        <f>_xlfn.XLOOKUP(E122,Flexibles!$C:$C,Flexibles!$D:$D,0)</f>
        <v>250000</v>
      </c>
      <c r="G122" s="33">
        <f>_xlfn.XLOOKUP(E122,Flexibles!$C:$C,Flexibles!$H:$H,0)</f>
        <v>28</v>
      </c>
      <c r="H122" s="33">
        <f>_xlfn.XLOOKUP(E122,Flexibles!$C:$C,Flexibles!$G:$G,0)</f>
        <v>20</v>
      </c>
    </row>
    <row r="123" spans="2:8" x14ac:dyDescent="0.45">
      <c r="B123" s="3" t="s">
        <v>305</v>
      </c>
      <c r="C123" s="3" t="s">
        <v>358</v>
      </c>
      <c r="D123" s="3" t="s">
        <v>329</v>
      </c>
      <c r="E123" s="3" t="s">
        <v>363</v>
      </c>
      <c r="F123" s="31">
        <f>_xlfn.XLOOKUP(E123,Flexibles!$C:$C,Flexibles!$D:$D,0)</f>
        <v>40000</v>
      </c>
      <c r="G123" s="33">
        <f>_xlfn.XLOOKUP(E123,Flexibles!$C:$C,Flexibles!$H:$H,0)</f>
        <v>17.5</v>
      </c>
      <c r="H123" s="33">
        <f>_xlfn.XLOOKUP(E123,Flexibles!$C:$C,Flexibles!$G:$G,0)</f>
        <v>8</v>
      </c>
    </row>
    <row r="124" spans="2:8" x14ac:dyDescent="0.45">
      <c r="B124" s="3" t="s">
        <v>305</v>
      </c>
      <c r="C124" s="3" t="s">
        <v>358</v>
      </c>
      <c r="D124" s="3" t="s">
        <v>364</v>
      </c>
      <c r="E124" s="3" t="s">
        <v>364</v>
      </c>
      <c r="F124" s="31">
        <f>_xlfn.XLOOKUP(E124,Flexibles!$C:$C,Flexibles!$D:$D,0)</f>
        <v>45000</v>
      </c>
      <c r="G124" s="33">
        <f>_xlfn.XLOOKUP(E124,Flexibles!$C:$C,Flexibles!$H:$H,0)</f>
        <v>9.6</v>
      </c>
      <c r="H124" s="33">
        <f>_xlfn.XLOOKUP(E124,Flexibles!$C:$C,Flexibles!$G:$G,0)</f>
        <v>8</v>
      </c>
    </row>
    <row r="125" spans="2:8" x14ac:dyDescent="0.45">
      <c r="B125" s="3" t="s">
        <v>305</v>
      </c>
      <c r="C125" s="3" t="s">
        <v>358</v>
      </c>
      <c r="D125" s="3" t="s">
        <v>365</v>
      </c>
      <c r="E125" s="3" t="s">
        <v>365</v>
      </c>
      <c r="F125" s="31">
        <f>_xlfn.XLOOKUP(E125,Flexibles!$C:$C,Flexibles!$D:$D,0)</f>
        <v>30000</v>
      </c>
      <c r="G125" s="33">
        <f>_xlfn.XLOOKUP(E125,Flexibles!$C:$C,Flexibles!$H:$H,0)</f>
        <v>9.6</v>
      </c>
      <c r="H125" s="33">
        <f>_xlfn.XLOOKUP(E125,Flexibles!$C:$C,Flexibles!$G:$G,0)</f>
        <v>5</v>
      </c>
    </row>
    <row r="126" spans="2:8" x14ac:dyDescent="0.45">
      <c r="B126" s="3" t="s">
        <v>306</v>
      </c>
      <c r="C126" s="3" t="s">
        <v>169</v>
      </c>
      <c r="D126" s="3" t="s">
        <v>170</v>
      </c>
      <c r="E126" s="3" t="s">
        <v>171</v>
      </c>
      <c r="F126" s="31">
        <v>900000</v>
      </c>
      <c r="G126" s="33">
        <f>_xlfn.XLOOKUP($E$126,Tubes!$D:$D,Tubes!$J:$J,0)</f>
        <v>20</v>
      </c>
      <c r="H126" s="33">
        <f>_xlfn.XLOOKUP($E$126,Tubes!$D:$D,Tubes!$K:$K,0)</f>
        <v>22</v>
      </c>
    </row>
    <row r="127" spans="2:8" x14ac:dyDescent="0.45">
      <c r="B127" s="3" t="s">
        <v>306</v>
      </c>
      <c r="C127" s="3" t="s">
        <v>169</v>
      </c>
      <c r="D127" s="3" t="s">
        <v>170</v>
      </c>
      <c r="E127" s="3" t="s">
        <v>172</v>
      </c>
      <c r="F127" s="31">
        <v>1500000</v>
      </c>
      <c r="G127" s="33">
        <f>_xlfn.XLOOKUP($E$126,Tubes!$D:$D,Tubes!$J:$J,0)</f>
        <v>20</v>
      </c>
      <c r="H127" s="33">
        <f>_xlfn.XLOOKUP($E$126,Tubes!$D:$D,Tubes!$K:$K,0)</f>
        <v>22</v>
      </c>
    </row>
    <row r="128" spans="2:8" x14ac:dyDescent="0.45">
      <c r="B128" s="3" t="s">
        <v>306</v>
      </c>
      <c r="C128" s="3" t="s">
        <v>169</v>
      </c>
      <c r="D128" s="3" t="s">
        <v>170</v>
      </c>
      <c r="E128" s="3" t="s">
        <v>173</v>
      </c>
      <c r="F128" s="31">
        <v>850000</v>
      </c>
      <c r="G128" s="33">
        <f>_xlfn.XLOOKUP($E$126,Tubes!$D:$D,Tubes!$J:$J,0)</f>
        <v>20</v>
      </c>
      <c r="H128" s="33">
        <f>_xlfn.XLOOKUP($E$126,Tubes!$D:$D,Tubes!$K:$K,0)</f>
        <v>22</v>
      </c>
    </row>
    <row r="129" spans="2:8" x14ac:dyDescent="0.45">
      <c r="B129" s="3" t="s">
        <v>306</v>
      </c>
      <c r="C129" s="3" t="s">
        <v>169</v>
      </c>
      <c r="D129" s="3" t="s">
        <v>170</v>
      </c>
      <c r="E129" s="3" t="s">
        <v>174</v>
      </c>
      <c r="F129" s="31">
        <v>1800000</v>
      </c>
      <c r="G129" s="33">
        <f>_xlfn.XLOOKUP($E$126,Tubes!$D:$D,Tubes!$J:$J,0)</f>
        <v>20</v>
      </c>
      <c r="H129" s="33">
        <f>_xlfn.XLOOKUP($E$126,Tubes!$D:$D,Tubes!$K:$K,0)</f>
        <v>22</v>
      </c>
    </row>
    <row r="130" spans="2:8" x14ac:dyDescent="0.45">
      <c r="B130" s="3" t="s">
        <v>306</v>
      </c>
      <c r="C130" s="3" t="s">
        <v>175</v>
      </c>
      <c r="D130" s="3" t="s">
        <v>176</v>
      </c>
      <c r="E130" s="4">
        <v>8005</v>
      </c>
      <c r="F130" s="31">
        <v>380000</v>
      </c>
      <c r="G130" s="33">
        <f>_xlfn.XLOOKUP($E$126,Tubes!$D:$D,Tubes!$J:$J,0)</f>
        <v>20</v>
      </c>
      <c r="H130" s="33">
        <f>_xlfn.XLOOKUP($E$126,Tubes!$D:$D,Tubes!$K:$K,0)</f>
        <v>22</v>
      </c>
    </row>
    <row r="131" spans="2:8" x14ac:dyDescent="0.45">
      <c r="B131" s="3" t="s">
        <v>306</v>
      </c>
      <c r="C131" s="3" t="s">
        <v>175</v>
      </c>
      <c r="D131" s="3" t="s">
        <v>177</v>
      </c>
      <c r="E131" s="3" t="s">
        <v>178</v>
      </c>
      <c r="F131" s="31">
        <v>800000</v>
      </c>
      <c r="G131" s="33">
        <f>_xlfn.XLOOKUP($E$126,Tubes!$D:$D,Tubes!$J:$J,0)</f>
        <v>20</v>
      </c>
      <c r="H131" s="33">
        <f>_xlfn.XLOOKUP($E$126,Tubes!$D:$D,Tubes!$K:$K,0)</f>
        <v>22</v>
      </c>
    </row>
    <row r="132" spans="2:8" x14ac:dyDescent="0.45">
      <c r="B132" s="3" t="s">
        <v>306</v>
      </c>
      <c r="C132" s="3" t="s">
        <v>175</v>
      </c>
      <c r="D132" s="3" t="s">
        <v>177</v>
      </c>
      <c r="E132" s="3" t="s">
        <v>179</v>
      </c>
      <c r="F132" s="31">
        <v>850000</v>
      </c>
      <c r="G132" s="33">
        <f>_xlfn.XLOOKUP($E$126,Tubes!$D:$D,Tubes!$J:$J,0)</f>
        <v>20</v>
      </c>
      <c r="H132" s="33">
        <f>_xlfn.XLOOKUP($E$126,Tubes!$D:$D,Tubes!$K:$K,0)</f>
        <v>22</v>
      </c>
    </row>
    <row r="133" spans="2:8" x14ac:dyDescent="0.45">
      <c r="B133" s="3" t="s">
        <v>306</v>
      </c>
      <c r="C133" s="3" t="s">
        <v>175</v>
      </c>
      <c r="D133" s="3" t="s">
        <v>177</v>
      </c>
      <c r="E133" s="3" t="s">
        <v>180</v>
      </c>
      <c r="F133" s="31">
        <v>1500000</v>
      </c>
      <c r="G133" s="33">
        <f>_xlfn.XLOOKUP($E$126,Tubes!$D:$D,Tubes!$J:$J,0)</f>
        <v>20</v>
      </c>
      <c r="H133" s="33">
        <f>_xlfn.XLOOKUP($E$126,Tubes!$D:$D,Tubes!$K:$K,0)</f>
        <v>22</v>
      </c>
    </row>
    <row r="134" spans="2:8" x14ac:dyDescent="0.45">
      <c r="B134" s="3" t="s">
        <v>306</v>
      </c>
      <c r="C134" s="3" t="s">
        <v>175</v>
      </c>
      <c r="D134" s="3" t="s">
        <v>182</v>
      </c>
      <c r="E134" s="3" t="s">
        <v>183</v>
      </c>
      <c r="F134" s="31">
        <v>62500</v>
      </c>
      <c r="G134" s="33">
        <f>_xlfn.XLOOKUP($E$126,Tubes!$D:$D,Tubes!$J:$J,0)</f>
        <v>20</v>
      </c>
      <c r="H134" s="33">
        <f>_xlfn.XLOOKUP($E$126,Tubes!$D:$D,Tubes!$K:$K,0)</f>
        <v>22</v>
      </c>
    </row>
    <row r="135" spans="2:8" x14ac:dyDescent="0.45">
      <c r="B135" s="3" t="s">
        <v>306</v>
      </c>
      <c r="C135" s="3" t="s">
        <v>175</v>
      </c>
      <c r="D135" s="3" t="s">
        <v>182</v>
      </c>
      <c r="E135" s="3" t="s">
        <v>184</v>
      </c>
      <c r="F135" s="31">
        <v>66250</v>
      </c>
      <c r="G135" s="33">
        <f>_xlfn.XLOOKUP($E$126,Tubes!$D:$D,Tubes!$J:$J,0)</f>
        <v>20</v>
      </c>
      <c r="H135" s="33">
        <f>_xlfn.XLOOKUP($E$126,Tubes!$D:$D,Tubes!$K:$K,0)</f>
        <v>22</v>
      </c>
    </row>
    <row r="136" spans="2:8" x14ac:dyDescent="0.45">
      <c r="B136" s="3" t="s">
        <v>306</v>
      </c>
      <c r="C136" s="3" t="s">
        <v>175</v>
      </c>
      <c r="D136" s="3" t="s">
        <v>182</v>
      </c>
      <c r="E136" s="3" t="s">
        <v>185</v>
      </c>
      <c r="F136" s="31">
        <v>70000</v>
      </c>
      <c r="G136" s="33">
        <f>_xlfn.XLOOKUP($E$126,Tubes!$D:$D,Tubes!$J:$J,0)</f>
        <v>20</v>
      </c>
      <c r="H136" s="33">
        <f>_xlfn.XLOOKUP($E$126,Tubes!$D:$D,Tubes!$K:$K,0)</f>
        <v>22</v>
      </c>
    </row>
    <row r="137" spans="2:8" x14ac:dyDescent="0.45">
      <c r="B137" s="3" t="s">
        <v>306</v>
      </c>
      <c r="C137" s="3" t="s">
        <v>175</v>
      </c>
      <c r="D137" s="3" t="s">
        <v>186</v>
      </c>
      <c r="E137" s="3" t="s">
        <v>187</v>
      </c>
      <c r="F137" s="31">
        <v>62500</v>
      </c>
      <c r="G137" s="33">
        <f>_xlfn.XLOOKUP($E$126,Tubes!$D:$D,Tubes!$J:$J,0)</f>
        <v>20</v>
      </c>
      <c r="H137" s="33">
        <f>_xlfn.XLOOKUP($E$126,Tubes!$D:$D,Tubes!$K:$K,0)</f>
        <v>22</v>
      </c>
    </row>
    <row r="138" spans="2:8" x14ac:dyDescent="0.45">
      <c r="B138" s="3" t="s">
        <v>306</v>
      </c>
      <c r="C138" s="3" t="s">
        <v>175</v>
      </c>
      <c r="D138" s="3" t="s">
        <v>186</v>
      </c>
      <c r="E138" s="3" t="s">
        <v>188</v>
      </c>
      <c r="F138" s="31">
        <v>66250</v>
      </c>
      <c r="G138" s="33">
        <f>_xlfn.XLOOKUP($E$126,Tubes!$D:$D,Tubes!$J:$J,0)</f>
        <v>20</v>
      </c>
      <c r="H138" s="33">
        <f>_xlfn.XLOOKUP($E$126,Tubes!$D:$D,Tubes!$K:$K,0)</f>
        <v>22</v>
      </c>
    </row>
    <row r="139" spans="2:8" x14ac:dyDescent="0.45">
      <c r="B139" s="3" t="s">
        <v>306</v>
      </c>
      <c r="C139" s="3" t="s">
        <v>102</v>
      </c>
      <c r="D139" s="3" t="s">
        <v>190</v>
      </c>
      <c r="E139" s="3" t="s">
        <v>191</v>
      </c>
      <c r="F139" s="31">
        <v>1200000</v>
      </c>
      <c r="G139" s="33">
        <f>_xlfn.XLOOKUP($E$126,Tubes!$D:$D,Tubes!$J:$J,0)</f>
        <v>20</v>
      </c>
      <c r="H139" s="33">
        <f>_xlfn.XLOOKUP($E$126,Tubes!$D:$D,Tubes!$K:$K,0)</f>
        <v>22</v>
      </c>
    </row>
    <row r="140" spans="2:8" x14ac:dyDescent="0.45">
      <c r="B140" s="3" t="s">
        <v>306</v>
      </c>
      <c r="C140" s="3" t="s">
        <v>102</v>
      </c>
      <c r="D140" s="3" t="s">
        <v>192</v>
      </c>
      <c r="E140" s="3" t="s">
        <v>193</v>
      </c>
      <c r="F140" s="31">
        <v>900000</v>
      </c>
      <c r="G140" s="33">
        <f>_xlfn.XLOOKUP($E$126,Tubes!$D:$D,Tubes!$J:$J,0)</f>
        <v>20</v>
      </c>
      <c r="H140" s="33">
        <f>_xlfn.XLOOKUP($E$126,Tubes!$D:$D,Tubes!$K:$K,0)</f>
        <v>22</v>
      </c>
    </row>
    <row r="141" spans="2:8" x14ac:dyDescent="0.45">
      <c r="B141" s="3" t="s">
        <v>307</v>
      </c>
      <c r="C141" s="3" t="s">
        <v>194</v>
      </c>
      <c r="D141" s="3" t="s">
        <v>196</v>
      </c>
      <c r="E141" s="3" t="s">
        <v>196</v>
      </c>
      <c r="F141" s="31">
        <f>_xlfn.XLOOKUP(E141,Corrugates!$C:$C,Corrugates!$D:$D,0)</f>
        <v>1800000</v>
      </c>
      <c r="G141" s="33">
        <f>_xlfn.XLOOKUP(E141,Corrugates!$C:$C,Corrugates!$H:$H,0)</f>
        <v>450</v>
      </c>
      <c r="H141" s="33">
        <f>_xlfn.XLOOKUP(E141,Corrugates!$C:$C,Corrugates!$G:$G,0)</f>
        <v>340</v>
      </c>
    </row>
    <row r="142" spans="2:8" x14ac:dyDescent="0.45">
      <c r="B142" s="3" t="s">
        <v>307</v>
      </c>
      <c r="C142" s="3" t="s">
        <v>194</v>
      </c>
      <c r="D142" s="3" t="s">
        <v>197</v>
      </c>
      <c r="E142" s="3" t="s">
        <v>198</v>
      </c>
      <c r="F142" s="31">
        <f>_xlfn.XLOOKUP(E142,Corrugates!$C:$C,Corrugates!$D:$D,0)</f>
        <v>1800000</v>
      </c>
      <c r="G142" s="33">
        <f>_xlfn.XLOOKUP(E142,Corrugates!$C:$C,Corrugates!$H:$H,0)</f>
        <v>450</v>
      </c>
      <c r="H142" s="33">
        <f>_xlfn.XLOOKUP(E142,Corrugates!$C:$C,Corrugates!$G:$G,0)</f>
        <v>340</v>
      </c>
    </row>
    <row r="143" spans="2:8" x14ac:dyDescent="0.45">
      <c r="B143" s="3" t="s">
        <v>307</v>
      </c>
      <c r="C143" s="3" t="s">
        <v>194</v>
      </c>
      <c r="D143" s="3" t="s">
        <v>197</v>
      </c>
      <c r="E143" s="3" t="s">
        <v>199</v>
      </c>
      <c r="F143" s="31">
        <f>_xlfn.XLOOKUP(E143,Corrugates!$C:$C,Corrugates!$D:$D,0)</f>
        <v>1800000</v>
      </c>
      <c r="G143" s="33">
        <f>_xlfn.XLOOKUP(E143,Corrugates!$C:$C,Corrugates!$H:$H,0)</f>
        <v>450</v>
      </c>
      <c r="H143" s="33">
        <f>_xlfn.XLOOKUP(E143,Corrugates!$C:$C,Corrugates!$G:$G,0)</f>
        <v>340</v>
      </c>
    </row>
    <row r="144" spans="2:8" x14ac:dyDescent="0.45">
      <c r="B144" s="3" t="s">
        <v>307</v>
      </c>
      <c r="C144" s="3" t="s">
        <v>194</v>
      </c>
      <c r="D144" s="3" t="s">
        <v>197</v>
      </c>
      <c r="E144" s="3" t="s">
        <v>200</v>
      </c>
      <c r="F144" s="31">
        <f>_xlfn.XLOOKUP(E144,Corrugates!$C:$C,Corrugates!$D:$D,0)</f>
        <v>1800000</v>
      </c>
      <c r="G144" s="33">
        <f>_xlfn.XLOOKUP(E144,Corrugates!$C:$C,Corrugates!$H:$H,0)</f>
        <v>450</v>
      </c>
      <c r="H144" s="33">
        <f>_xlfn.XLOOKUP(E144,Corrugates!$C:$C,Corrugates!$G:$G,0)</f>
        <v>340</v>
      </c>
    </row>
    <row r="145" spans="2:8" x14ac:dyDescent="0.45">
      <c r="B145" s="3" t="s">
        <v>307</v>
      </c>
      <c r="C145" s="3" t="s">
        <v>194</v>
      </c>
      <c r="D145" s="3" t="s">
        <v>195</v>
      </c>
      <c r="E145" s="3" t="s">
        <v>201</v>
      </c>
      <c r="F145" s="31">
        <f>_xlfn.XLOOKUP(E145,Corrugates!$C:$C,Corrugates!$D:$D,0)</f>
        <v>2950000</v>
      </c>
      <c r="G145" s="33">
        <f>_xlfn.XLOOKUP(E145,Corrugates!$C:$C,Corrugates!$H:$H,0)</f>
        <v>450</v>
      </c>
      <c r="H145" s="33">
        <f>_xlfn.XLOOKUP(E145,Corrugates!$C:$C,Corrugates!$G:$G,0)</f>
        <v>340</v>
      </c>
    </row>
    <row r="146" spans="2:8" x14ac:dyDescent="0.45">
      <c r="B146" s="3" t="s">
        <v>307</v>
      </c>
      <c r="C146" s="3" t="s">
        <v>194</v>
      </c>
      <c r="D146" s="3" t="s">
        <v>195</v>
      </c>
      <c r="E146" s="3" t="s">
        <v>202</v>
      </c>
      <c r="F146" s="31">
        <f>_xlfn.XLOOKUP(E146,Corrugates!$C:$C,Corrugates!$D:$D,0)</f>
        <v>3950000</v>
      </c>
      <c r="G146" s="33">
        <f>_xlfn.XLOOKUP(E146,Corrugates!$C:$C,Corrugates!$H:$H,0)</f>
        <v>450</v>
      </c>
      <c r="H146" s="33">
        <f>_xlfn.XLOOKUP(E146,Corrugates!$C:$C,Corrugates!$G:$G,0)</f>
        <v>340</v>
      </c>
    </row>
    <row r="147" spans="2:8" x14ac:dyDescent="0.45">
      <c r="B147" s="3" t="s">
        <v>307</v>
      </c>
      <c r="C147" s="3" t="s">
        <v>194</v>
      </c>
      <c r="D147" s="3" t="s">
        <v>203</v>
      </c>
      <c r="E147" s="3" t="s">
        <v>204</v>
      </c>
      <c r="F147" s="31">
        <f>_xlfn.XLOOKUP(E147,Corrugates!$C:$C,Corrugates!$D:$D,0)</f>
        <v>4750000</v>
      </c>
      <c r="G147" s="33">
        <f>_xlfn.XLOOKUP(E147,Corrugates!$C:$C,Corrugates!$H:$H,0)</f>
        <v>450</v>
      </c>
      <c r="H147" s="33">
        <f>_xlfn.XLOOKUP(E147,Corrugates!$C:$C,Corrugates!$G:$G,0)</f>
        <v>340</v>
      </c>
    </row>
    <row r="148" spans="2:8" x14ac:dyDescent="0.45">
      <c r="B148" s="3" t="s">
        <v>307</v>
      </c>
      <c r="C148" s="3" t="s">
        <v>194</v>
      </c>
      <c r="D148" s="3" t="s">
        <v>203</v>
      </c>
      <c r="E148" s="3" t="s">
        <v>205</v>
      </c>
      <c r="F148" s="31">
        <f>_xlfn.XLOOKUP(E148,Corrugates!$C:$C,Corrugates!$D:$D,0)</f>
        <v>3950000</v>
      </c>
      <c r="G148" s="33">
        <f>_xlfn.XLOOKUP(E148,Corrugates!$C:$C,Corrugates!$H:$H,0)</f>
        <v>450</v>
      </c>
      <c r="H148" s="33">
        <f>_xlfn.XLOOKUP(E148,Corrugates!$C:$C,Corrugates!$G:$G,0)</f>
        <v>340</v>
      </c>
    </row>
    <row r="149" spans="2:8" x14ac:dyDescent="0.45">
      <c r="B149" s="3" t="s">
        <v>307</v>
      </c>
      <c r="C149" s="3" t="s">
        <v>194</v>
      </c>
      <c r="D149" s="3" t="s">
        <v>206</v>
      </c>
      <c r="E149" s="3" t="s">
        <v>207</v>
      </c>
      <c r="F149" s="31">
        <f>_xlfn.XLOOKUP(E149,Corrugates!$C:$C,Corrugates!$D:$D,0)</f>
        <v>5950000</v>
      </c>
      <c r="G149" s="33">
        <f>_xlfn.XLOOKUP(E149,Corrugates!$C:$C,Corrugates!$H:$H,0)</f>
        <v>450</v>
      </c>
      <c r="H149" s="33">
        <f>_xlfn.XLOOKUP(E149,Corrugates!$C:$C,Corrugates!$G:$G,0)</f>
        <v>340</v>
      </c>
    </row>
    <row r="150" spans="2:8" x14ac:dyDescent="0.45">
      <c r="B150" s="3" t="s">
        <v>307</v>
      </c>
      <c r="C150" s="3" t="s">
        <v>208</v>
      </c>
      <c r="D150" s="3" t="s">
        <v>209</v>
      </c>
      <c r="E150" s="3" t="s">
        <v>210</v>
      </c>
      <c r="F150" s="31">
        <f>_xlfn.XLOOKUP(E150,Corrugates!$C:$C,Corrugates!$D:$D,0)</f>
        <v>500000</v>
      </c>
      <c r="G150" s="33">
        <f>_xlfn.XLOOKUP(E150,Corrugates!$C:$C,Corrugates!$H:$H,0)</f>
        <v>150</v>
      </c>
      <c r="H150" s="33">
        <f>_xlfn.XLOOKUP(E150,Corrugates!$C:$C,Corrugates!$G:$G,0)</f>
        <v>80</v>
      </c>
    </row>
    <row r="151" spans="2:8" x14ac:dyDescent="0.45">
      <c r="B151" s="3" t="s">
        <v>307</v>
      </c>
      <c r="C151" s="3" t="s">
        <v>208</v>
      </c>
      <c r="D151" s="3" t="s">
        <v>211</v>
      </c>
      <c r="E151" s="3" t="s">
        <v>212</v>
      </c>
      <c r="F151" s="31">
        <f>_xlfn.XLOOKUP(E151,Corrugates!$C:$C,Corrugates!$D:$D,0)</f>
        <v>977500</v>
      </c>
      <c r="G151" s="33">
        <f>_xlfn.XLOOKUP(E151,Corrugates!$C:$C,Corrugates!$H:$H,0)</f>
        <v>150</v>
      </c>
      <c r="H151" s="33">
        <f>_xlfn.XLOOKUP(E151,Corrugates!$C:$C,Corrugates!$G:$G,0)</f>
        <v>80</v>
      </c>
    </row>
    <row r="152" spans="2:8" x14ac:dyDescent="0.45">
      <c r="B152" s="3" t="s">
        <v>307</v>
      </c>
      <c r="C152" s="3" t="s">
        <v>208</v>
      </c>
      <c r="D152" s="3" t="s">
        <v>213</v>
      </c>
      <c r="E152" s="3" t="s">
        <v>214</v>
      </c>
      <c r="F152" s="31">
        <f>_xlfn.XLOOKUP(E152,Corrugates!$C:$C,Corrugates!$D:$D,0)</f>
        <v>750000</v>
      </c>
      <c r="G152" s="33">
        <f>_xlfn.XLOOKUP(E152,Corrugates!$C:$C,Corrugates!$H:$H,0)</f>
        <v>150</v>
      </c>
      <c r="H152" s="33">
        <f>_xlfn.XLOOKUP(E152,Corrugates!$C:$C,Corrugates!$G:$G,0)</f>
        <v>80</v>
      </c>
    </row>
    <row r="153" spans="2:8" x14ac:dyDescent="0.45">
      <c r="B153" s="3" t="s">
        <v>307</v>
      </c>
      <c r="C153" s="3" t="s">
        <v>208</v>
      </c>
      <c r="D153" s="3" t="s">
        <v>215</v>
      </c>
      <c r="E153" s="3" t="s">
        <v>216</v>
      </c>
      <c r="F153" s="31">
        <f>_xlfn.XLOOKUP(E153,Corrugates!$C:$C,Corrugates!$D:$D,0)</f>
        <v>750000</v>
      </c>
      <c r="G153" s="33">
        <f>_xlfn.XLOOKUP(E153,Corrugates!$C:$C,Corrugates!$H:$H,0)</f>
        <v>150</v>
      </c>
      <c r="H153" s="33">
        <f>_xlfn.XLOOKUP(E153,Corrugates!$C:$C,Corrugates!$G:$G,0)</f>
        <v>80</v>
      </c>
    </row>
    <row r="154" spans="2:8" x14ac:dyDescent="0.45">
      <c r="B154" s="3" t="s">
        <v>307</v>
      </c>
      <c r="C154" s="3" t="s">
        <v>208</v>
      </c>
      <c r="D154" s="3" t="s">
        <v>215</v>
      </c>
      <c r="E154" s="3" t="s">
        <v>217</v>
      </c>
      <c r="F154" s="31">
        <f>_xlfn.XLOOKUP(E154,Corrugates!$C:$C,Corrugates!$D:$D,0)</f>
        <v>450000</v>
      </c>
      <c r="G154" s="33">
        <f>_xlfn.XLOOKUP(E154,Corrugates!$C:$C,Corrugates!$H:$H,0)</f>
        <v>150</v>
      </c>
      <c r="H154" s="33">
        <f>_xlfn.XLOOKUP(E154,Corrugates!$C:$C,Corrugates!$G:$G,0)</f>
        <v>80</v>
      </c>
    </row>
    <row r="155" spans="2:8" x14ac:dyDescent="0.45">
      <c r="B155" s="3" t="s">
        <v>307</v>
      </c>
      <c r="C155" s="3" t="s">
        <v>208</v>
      </c>
      <c r="D155" s="3" t="s">
        <v>215</v>
      </c>
      <c r="E155" s="3" t="s">
        <v>218</v>
      </c>
      <c r="F155" s="31">
        <f>_xlfn.XLOOKUP(E155,Corrugates!$C:$C,Corrugates!$D:$D,0)</f>
        <v>850000</v>
      </c>
      <c r="G155" s="33">
        <f>_xlfn.XLOOKUP(E155,Corrugates!$C:$C,Corrugates!$H:$H,0)</f>
        <v>150</v>
      </c>
      <c r="H155" s="33">
        <f>_xlfn.XLOOKUP(E155,Corrugates!$C:$C,Corrugates!$G:$G,0)</f>
        <v>80</v>
      </c>
    </row>
    <row r="156" spans="2:8" x14ac:dyDescent="0.45">
      <c r="B156" s="3" t="s">
        <v>307</v>
      </c>
      <c r="C156" s="3" t="s">
        <v>219</v>
      </c>
      <c r="D156" s="3" t="s">
        <v>144</v>
      </c>
      <c r="E156" s="3" t="s">
        <v>144</v>
      </c>
      <c r="F156" s="31">
        <f>_xlfn.XLOOKUP(E156,Corrugates!$C:$C,Corrugates!$D:$D,0)</f>
        <v>500000</v>
      </c>
      <c r="G156" s="33">
        <f>_xlfn.XLOOKUP(E156,Corrugates!$C:$C,Corrugates!$H:$H,0)</f>
        <v>100</v>
      </c>
      <c r="H156" s="33">
        <f>_xlfn.XLOOKUP(E156,Corrugates!$C:$C,Corrugates!$G:$G,0)</f>
        <v>80</v>
      </c>
    </row>
    <row r="157" spans="2:8" x14ac:dyDescent="0.45">
      <c r="B157" s="3" t="s">
        <v>307</v>
      </c>
      <c r="C157" s="3" t="s">
        <v>219</v>
      </c>
      <c r="D157" s="3" t="s">
        <v>220</v>
      </c>
      <c r="E157" s="3" t="s">
        <v>221</v>
      </c>
      <c r="F157" s="31">
        <f>_xlfn.XLOOKUP(E157,Corrugates!$C:$C,Corrugates!$D:$D,0)</f>
        <v>350000</v>
      </c>
      <c r="G157" s="33">
        <f>_xlfn.XLOOKUP(E157,Corrugates!$C:$C,Corrugates!$H:$H,0)</f>
        <v>100</v>
      </c>
      <c r="H157" s="33">
        <f>_xlfn.XLOOKUP(E157,Corrugates!$C:$C,Corrugates!$G:$G,0)</f>
        <v>80</v>
      </c>
    </row>
    <row r="158" spans="2:8" x14ac:dyDescent="0.45">
      <c r="B158" s="3" t="s">
        <v>307</v>
      </c>
      <c r="C158" s="3" t="s">
        <v>219</v>
      </c>
      <c r="D158" s="3" t="s">
        <v>220</v>
      </c>
      <c r="E158" s="3" t="s">
        <v>222</v>
      </c>
      <c r="F158" s="31">
        <f>_xlfn.XLOOKUP(E158,Corrugates!$C:$C,Corrugates!$D:$D,0)</f>
        <v>300000</v>
      </c>
      <c r="G158" s="33">
        <f>_xlfn.XLOOKUP(E158,Corrugates!$C:$C,Corrugates!$H:$H,0)</f>
        <v>100</v>
      </c>
      <c r="H158" s="33">
        <f>_xlfn.XLOOKUP(E158,Corrugates!$C:$C,Corrugates!$G:$G,0)</f>
        <v>80</v>
      </c>
    </row>
    <row r="159" spans="2:8" x14ac:dyDescent="0.45">
      <c r="B159" s="3" t="s">
        <v>307</v>
      </c>
      <c r="C159" s="3" t="s">
        <v>219</v>
      </c>
      <c r="D159" s="3" t="s">
        <v>197</v>
      </c>
      <c r="E159" s="3" t="s">
        <v>210</v>
      </c>
      <c r="F159" s="31">
        <f>_xlfn.XLOOKUP(E159,Corrugates!$C:$C,Corrugates!$D:$D,0)</f>
        <v>500000</v>
      </c>
      <c r="G159" s="33">
        <f>_xlfn.XLOOKUP(E159,Corrugates!$C:$C,Corrugates!$H:$H,0)</f>
        <v>150</v>
      </c>
      <c r="H159" s="33">
        <f>_xlfn.XLOOKUP(E159,Corrugates!$C:$C,Corrugates!$G:$G,0)</f>
        <v>80</v>
      </c>
    </row>
    <row r="160" spans="2:8" x14ac:dyDescent="0.45">
      <c r="B160" s="3" t="s">
        <v>307</v>
      </c>
      <c r="C160" s="3" t="s">
        <v>219</v>
      </c>
      <c r="D160" s="3" t="s">
        <v>197</v>
      </c>
      <c r="E160" s="3" t="s">
        <v>223</v>
      </c>
      <c r="F160" s="31">
        <f>_xlfn.XLOOKUP(E160,Corrugates!$C:$C,Corrugates!$D:$D,0)</f>
        <v>550000</v>
      </c>
      <c r="G160" s="33">
        <f>_xlfn.XLOOKUP(E160,Corrugates!$C:$C,Corrugates!$H:$H,0)</f>
        <v>100</v>
      </c>
      <c r="H160" s="33">
        <f>_xlfn.XLOOKUP(E160,Corrugates!$C:$C,Corrugates!$G:$G,0)</f>
        <v>80</v>
      </c>
    </row>
    <row r="161" spans="2:8" x14ac:dyDescent="0.45">
      <c r="B161" s="3" t="s">
        <v>307</v>
      </c>
      <c r="C161" s="3" t="s">
        <v>219</v>
      </c>
      <c r="D161" s="3" t="s">
        <v>197</v>
      </c>
      <c r="E161" s="3" t="s">
        <v>224</v>
      </c>
      <c r="F161" s="31">
        <f>_xlfn.XLOOKUP(E161,Corrugates!$C:$C,Corrugates!$D:$D,0)</f>
        <v>650000</v>
      </c>
      <c r="G161" s="33">
        <f>_xlfn.XLOOKUP(E161,Corrugates!$C:$C,Corrugates!$H:$H,0)</f>
        <v>100</v>
      </c>
      <c r="H161" s="33">
        <f>_xlfn.XLOOKUP(E161,Corrugates!$C:$C,Corrugates!$G:$G,0)</f>
        <v>80</v>
      </c>
    </row>
    <row r="162" spans="2:8" x14ac:dyDescent="0.45">
      <c r="B162" s="3" t="s">
        <v>307</v>
      </c>
      <c r="C162" s="3" t="s">
        <v>219</v>
      </c>
      <c r="D162" s="3" t="s">
        <v>225</v>
      </c>
      <c r="E162" s="3" t="s">
        <v>226</v>
      </c>
      <c r="F162" s="31">
        <f>_xlfn.XLOOKUP(E162,Corrugates!$C:$C,Corrugates!$D:$D,0)</f>
        <v>90000</v>
      </c>
      <c r="G162" s="33">
        <f>_xlfn.XLOOKUP(E162,Corrugates!$C:$C,Corrugates!$H:$H,0)</f>
        <v>100</v>
      </c>
      <c r="H162" s="33">
        <f>_xlfn.XLOOKUP(E162,Corrugates!$C:$C,Corrugates!$G:$G,0)</f>
        <v>80</v>
      </c>
    </row>
    <row r="163" spans="2:8" x14ac:dyDescent="0.45">
      <c r="B163" s="3" t="s">
        <v>307</v>
      </c>
      <c r="C163" s="3" t="s">
        <v>219</v>
      </c>
      <c r="D163" s="3" t="s">
        <v>227</v>
      </c>
      <c r="E163" s="3" t="s">
        <v>228</v>
      </c>
      <c r="F163" s="32">
        <f>_xlfn.XLOOKUP(E163,Corrugates!$C:$C,Corrugates!$D:$D,0)</f>
        <v>80000</v>
      </c>
      <c r="G163" s="33">
        <f>_xlfn.XLOOKUP(E163,Corrugates!$C:$C,Corrugates!$H:$H,0)</f>
        <v>100</v>
      </c>
      <c r="H163" s="33">
        <f>_xlfn.XLOOKUP(E163,Corrugates!$C:$C,Corrugates!$G:$G,0)</f>
        <v>80</v>
      </c>
    </row>
    <row r="164" spans="2:8" x14ac:dyDescent="0.45">
      <c r="B164" s="3" t="s">
        <v>307</v>
      </c>
      <c r="C164" s="3" t="s">
        <v>219</v>
      </c>
      <c r="D164" s="3" t="s">
        <v>225</v>
      </c>
      <c r="E164" s="3" t="s">
        <v>229</v>
      </c>
      <c r="F164" s="31">
        <f>_xlfn.XLOOKUP(E164,Corrugates!$C:$C,Corrugates!$D:$D,0)</f>
        <v>80000</v>
      </c>
      <c r="G164" s="33">
        <f>_xlfn.XLOOKUP(E164,Corrugates!$C:$C,Corrugates!$H:$H,0)</f>
        <v>100</v>
      </c>
      <c r="H164" s="33">
        <f>_xlfn.XLOOKUP(E164,Corrugates!$C:$C,Corrugates!$G:$G,0)</f>
        <v>80</v>
      </c>
    </row>
    <row r="165" spans="2:8" x14ac:dyDescent="0.45">
      <c r="B165" s="3" t="s">
        <v>307</v>
      </c>
      <c r="C165" s="3" t="s">
        <v>219</v>
      </c>
      <c r="D165" s="3" t="s">
        <v>144</v>
      </c>
      <c r="E165" s="3" t="s">
        <v>230</v>
      </c>
      <c r="F165" s="31">
        <f>_xlfn.XLOOKUP(E165,Corrugates!$C:$C,Corrugates!$D:$D,0)</f>
        <v>850000</v>
      </c>
      <c r="G165" s="33">
        <f>_xlfn.XLOOKUP(E165,Corrugates!$C:$C,Corrugates!$H:$H,0)</f>
        <v>100</v>
      </c>
      <c r="H165" s="33">
        <f>_xlfn.XLOOKUP(E165,Corrugates!$C:$C,Corrugates!$G:$G,0)</f>
        <v>80</v>
      </c>
    </row>
    <row r="166" spans="2:8" x14ac:dyDescent="0.45">
      <c r="B166" s="3" t="s">
        <v>307</v>
      </c>
      <c r="C166" s="3" t="s">
        <v>219</v>
      </c>
      <c r="D166" s="3" t="s">
        <v>144</v>
      </c>
      <c r="E166" s="3" t="s">
        <v>231</v>
      </c>
      <c r="F166" s="31">
        <f>_xlfn.XLOOKUP(E166,Corrugates!$C:$C,Corrugates!$D:$D,0)</f>
        <v>700000</v>
      </c>
      <c r="G166" s="33">
        <f>_xlfn.XLOOKUP(E166,Corrugates!$C:$C,Corrugates!$H:$H,0)</f>
        <v>100</v>
      </c>
      <c r="H166" s="33">
        <f>_xlfn.XLOOKUP(E166,Corrugates!$C:$C,Corrugates!$G:$G,0)</f>
        <v>80</v>
      </c>
    </row>
    <row r="167" spans="2:8" x14ac:dyDescent="0.45">
      <c r="B167" s="3" t="s">
        <v>307</v>
      </c>
      <c r="C167" s="3" t="s">
        <v>219</v>
      </c>
      <c r="D167" s="3" t="s">
        <v>206</v>
      </c>
      <c r="E167" s="3" t="s">
        <v>232</v>
      </c>
      <c r="F167" s="31">
        <f>_xlfn.XLOOKUP(E167,Corrugates!$C:$C,Corrugates!$D:$D,0)</f>
        <v>760000</v>
      </c>
      <c r="G167" s="33">
        <f>_xlfn.XLOOKUP(E167,Corrugates!$C:$C,Corrugates!$H:$H,0)</f>
        <v>100</v>
      </c>
      <c r="H167" s="33">
        <f>_xlfn.XLOOKUP(E167,Corrugates!$C:$C,Corrugates!$G:$G,0)</f>
        <v>80</v>
      </c>
    </row>
    <row r="168" spans="2:8" x14ac:dyDescent="0.45">
      <c r="B168" s="3" t="s">
        <v>307</v>
      </c>
      <c r="C168" s="3" t="s">
        <v>219</v>
      </c>
      <c r="D168" s="3" t="s">
        <v>206</v>
      </c>
      <c r="E168" s="3" t="s">
        <v>233</v>
      </c>
      <c r="F168" s="31">
        <f>_xlfn.XLOOKUP(E168,Corrugates!$C:$C,Corrugates!$D:$D,0)</f>
        <v>660000</v>
      </c>
      <c r="G168" s="33">
        <f>_xlfn.XLOOKUP(E168,Corrugates!$C:$C,Corrugates!$H:$H,0)</f>
        <v>100</v>
      </c>
      <c r="H168" s="33">
        <f>_xlfn.XLOOKUP(E168,Corrugates!$C:$C,Corrugates!$G:$G,0)</f>
        <v>80</v>
      </c>
    </row>
    <row r="169" spans="2:8" x14ac:dyDescent="0.45">
      <c r="B169" s="3" t="s">
        <v>307</v>
      </c>
      <c r="C169" s="3" t="s">
        <v>234</v>
      </c>
      <c r="D169" s="3" t="s">
        <v>235</v>
      </c>
      <c r="E169" s="3" t="s">
        <v>236</v>
      </c>
      <c r="F169" s="31">
        <f>_xlfn.XLOOKUP(E169,Corrugates!$C:$C,Corrugates!$D:$D,0)</f>
        <v>800000</v>
      </c>
      <c r="G169" s="33">
        <f>_xlfn.XLOOKUP(E169,Corrugates!$C:$C,Corrugates!$H:$H,0)</f>
        <v>150</v>
      </c>
      <c r="H169" s="33">
        <f>_xlfn.XLOOKUP(E169,Corrugates!$C:$C,Corrugates!$G:$G,0)</f>
        <v>100</v>
      </c>
    </row>
    <row r="170" spans="2:8" x14ac:dyDescent="0.45">
      <c r="B170" s="3" t="s">
        <v>307</v>
      </c>
      <c r="C170" s="3" t="s">
        <v>234</v>
      </c>
      <c r="D170" s="3" t="s">
        <v>235</v>
      </c>
      <c r="E170" s="3" t="s">
        <v>237</v>
      </c>
      <c r="F170" s="31">
        <f>_xlfn.XLOOKUP(E170,Corrugates!$C:$C,Corrugates!$D:$D,0)</f>
        <v>750000</v>
      </c>
      <c r="G170" s="33">
        <f>_xlfn.XLOOKUP(E170,Corrugates!$C:$C,Corrugates!$H:$H,0)</f>
        <v>150</v>
      </c>
      <c r="H170" s="33">
        <f>_xlfn.XLOOKUP(E170,Corrugates!$C:$C,Corrugates!$G:$G,0)</f>
        <v>100</v>
      </c>
    </row>
    <row r="171" spans="2:8" x14ac:dyDescent="0.45">
      <c r="B171" s="3" t="s">
        <v>307</v>
      </c>
      <c r="C171" s="3" t="s">
        <v>234</v>
      </c>
      <c r="D171" s="3" t="s">
        <v>235</v>
      </c>
      <c r="E171" s="3" t="s">
        <v>238</v>
      </c>
      <c r="F171" s="31">
        <f>_xlfn.XLOOKUP(E171,Corrugates!$C:$C,Corrugates!$D:$D,0)</f>
        <v>722891.56626506022</v>
      </c>
      <c r="G171" s="33">
        <f>_xlfn.XLOOKUP(E171,Corrugates!$C:$C,Corrugates!$H:$H,0)</f>
        <v>150</v>
      </c>
      <c r="H171" s="33">
        <f>_xlfn.XLOOKUP(E171,Corrugates!$C:$C,Corrugates!$G:$G,0)</f>
        <v>100</v>
      </c>
    </row>
    <row r="172" spans="2:8" x14ac:dyDescent="0.45">
      <c r="B172" s="3" t="s">
        <v>307</v>
      </c>
      <c r="C172" s="3" t="s">
        <v>234</v>
      </c>
      <c r="D172" s="3" t="s">
        <v>206</v>
      </c>
      <c r="E172" s="3" t="s">
        <v>239</v>
      </c>
      <c r="F172" s="31">
        <f>_xlfn.XLOOKUP(E172,Corrugates!$C:$C,Corrugates!$D:$D,0)</f>
        <v>1000000</v>
      </c>
      <c r="G172" s="33">
        <f>_xlfn.XLOOKUP(E172,Corrugates!$C:$C,Corrugates!$H:$H,0)</f>
        <v>150</v>
      </c>
      <c r="H172" s="33">
        <f>_xlfn.XLOOKUP(E172,Corrugates!$C:$C,Corrugates!$G:$G,0)</f>
        <v>100</v>
      </c>
    </row>
    <row r="173" spans="2:8" x14ac:dyDescent="0.45">
      <c r="B173" s="3" t="s">
        <v>307</v>
      </c>
      <c r="C173" s="3" t="s">
        <v>240</v>
      </c>
      <c r="D173" s="3" t="s">
        <v>144</v>
      </c>
      <c r="E173" s="3" t="s">
        <v>241</v>
      </c>
      <c r="F173" s="31">
        <f>_xlfn.XLOOKUP(E173,Corrugates!$C:$C,Corrugates!$D:$D,0)</f>
        <v>1000000</v>
      </c>
      <c r="G173" s="33">
        <f>_xlfn.XLOOKUP(E173,Corrugates!$C:$C,Corrugates!$H:$H,0)</f>
        <v>300</v>
      </c>
      <c r="H173" s="33">
        <f>_xlfn.XLOOKUP(E173,Corrugates!$C:$C,Corrugates!$G:$G,0)</f>
        <v>80</v>
      </c>
    </row>
    <row r="174" spans="2:8" x14ac:dyDescent="0.45">
      <c r="B174" s="3" t="s">
        <v>307</v>
      </c>
      <c r="C174" s="3" t="s">
        <v>240</v>
      </c>
      <c r="D174" s="3" t="s">
        <v>144</v>
      </c>
      <c r="E174" s="3" t="s">
        <v>242</v>
      </c>
      <c r="F174" s="31">
        <f>_xlfn.XLOOKUP(E174,Corrugates!$C:$C,Corrugates!$D:$D,0)</f>
        <v>1000000</v>
      </c>
      <c r="G174" s="33">
        <f>_xlfn.XLOOKUP(E174,Corrugates!$C:$C,Corrugates!$H:$H,0)</f>
        <v>300</v>
      </c>
      <c r="H174" s="33">
        <f>_xlfn.XLOOKUP(E174,Corrugates!$C:$C,Corrugates!$G:$G,0)</f>
        <v>80</v>
      </c>
    </row>
    <row r="175" spans="2:8" x14ac:dyDescent="0.45">
      <c r="B175" s="3" t="s">
        <v>307</v>
      </c>
      <c r="C175" s="3" t="s">
        <v>240</v>
      </c>
      <c r="D175" s="3" t="s">
        <v>144</v>
      </c>
      <c r="E175" s="3" t="s">
        <v>231</v>
      </c>
      <c r="F175" s="31">
        <f>_xlfn.XLOOKUP(E175,Corrugates!$C:$C,Corrugates!$D:$D,0)</f>
        <v>700000</v>
      </c>
      <c r="G175" s="33">
        <f>_xlfn.XLOOKUP(E175,Corrugates!$C:$C,Corrugates!$H:$H,0)</f>
        <v>100</v>
      </c>
      <c r="H175" s="33">
        <f>_xlfn.XLOOKUP(E175,Corrugates!$C:$C,Corrugates!$G:$G,0)</f>
        <v>80</v>
      </c>
    </row>
    <row r="176" spans="2:8" x14ac:dyDescent="0.45">
      <c r="B176" s="3" t="s">
        <v>307</v>
      </c>
      <c r="C176" s="3" t="s">
        <v>240</v>
      </c>
      <c r="D176" s="3" t="s">
        <v>206</v>
      </c>
      <c r="E176" s="3" t="s">
        <v>243</v>
      </c>
      <c r="F176" s="31">
        <f>_xlfn.XLOOKUP(E176,Corrugates!$C:$C,Corrugates!$D:$D,0)</f>
        <v>1200000</v>
      </c>
      <c r="G176" s="33">
        <f>_xlfn.XLOOKUP(E176,Corrugates!$C:$C,Corrugates!$H:$H,0)</f>
        <v>300</v>
      </c>
      <c r="H176" s="33">
        <f>_xlfn.XLOOKUP(E176,Corrugates!$C:$C,Corrugates!$G:$G,0)</f>
        <v>80</v>
      </c>
    </row>
    <row r="177" spans="2:8" x14ac:dyDescent="0.45">
      <c r="B177" s="3" t="s">
        <v>307</v>
      </c>
      <c r="C177" s="3" t="s">
        <v>240</v>
      </c>
      <c r="D177" s="3" t="s">
        <v>206</v>
      </c>
      <c r="E177" s="3" t="s">
        <v>244</v>
      </c>
      <c r="F177" s="31">
        <f>_xlfn.XLOOKUP(E177,Corrugates!$C:$C,Corrugates!$D:$D,0)</f>
        <v>1200000</v>
      </c>
      <c r="G177" s="33">
        <f>_xlfn.XLOOKUP(E177,Corrugates!$C:$C,Corrugates!$H:$H,0)</f>
        <v>300</v>
      </c>
      <c r="H177" s="33">
        <f>_xlfn.XLOOKUP(E177,Corrugates!$C:$C,Corrugates!$G:$G,0)</f>
        <v>80</v>
      </c>
    </row>
    <row r="178" spans="2:8" x14ac:dyDescent="0.45">
      <c r="B178" s="3" t="s">
        <v>307</v>
      </c>
      <c r="C178" s="3" t="s">
        <v>240</v>
      </c>
      <c r="D178" s="3" t="s">
        <v>206</v>
      </c>
      <c r="E178" s="3" t="s">
        <v>245</v>
      </c>
      <c r="F178" s="31">
        <f>_xlfn.XLOOKUP(E178,Corrugates!$C:$C,Corrugates!$D:$D,0)</f>
        <v>1200000</v>
      </c>
      <c r="G178" s="33">
        <f>_xlfn.XLOOKUP(E178,Corrugates!$C:$C,Corrugates!$H:$H,0)</f>
        <v>300</v>
      </c>
      <c r="H178" s="33">
        <f>_xlfn.XLOOKUP(E178,Corrugates!$C:$C,Corrugates!$G:$G,0)</f>
        <v>80</v>
      </c>
    </row>
    <row r="179" spans="2:8" x14ac:dyDescent="0.45">
      <c r="B179" s="3" t="s">
        <v>308</v>
      </c>
      <c r="C179" s="3" t="s">
        <v>251</v>
      </c>
      <c r="D179" s="3" t="s">
        <v>309</v>
      </c>
      <c r="E179" s="3" t="s">
        <v>252</v>
      </c>
      <c r="F179" s="31">
        <f>_xlfn.XLOOKUP(E179,Cartons!$B:$B,Cartons!$C:$C,0)</f>
        <v>800000</v>
      </c>
      <c r="G179" s="33">
        <f>_xlfn.XLOOKUP($E$179,Cartons!$B:$B,Cartons!$F:$F,0)</f>
        <v>250</v>
      </c>
      <c r="H179" s="33">
        <f>_xlfn.XLOOKUP($E$179,Cartons!$B:$B,Cartons!$E:$E,0)</f>
        <v>150</v>
      </c>
    </row>
    <row r="180" spans="2:8" x14ac:dyDescent="0.45">
      <c r="B180" s="3" t="s">
        <v>308</v>
      </c>
      <c r="C180" s="3" t="s">
        <v>251</v>
      </c>
      <c r="D180" s="3" t="s">
        <v>310</v>
      </c>
      <c r="E180" s="3" t="s">
        <v>253</v>
      </c>
      <c r="F180" s="31">
        <f>_xlfn.XLOOKUP(E180,Cartons!$B:$B,Cartons!$C:$C,0)</f>
        <v>200000</v>
      </c>
      <c r="G180" s="33">
        <f>_xlfn.XLOOKUP($E$179,Cartons!$B:$B,Cartons!$F:$F,0)</f>
        <v>250</v>
      </c>
      <c r="H180" s="33">
        <f>_xlfn.XLOOKUP($E$179,Cartons!$B:$B,Cartons!$E:$E,0)</f>
        <v>150</v>
      </c>
    </row>
    <row r="181" spans="2:8" x14ac:dyDescent="0.45">
      <c r="B181" s="3" t="s">
        <v>308</v>
      </c>
      <c r="C181" s="3" t="s">
        <v>251</v>
      </c>
      <c r="D181" s="3" t="s">
        <v>310</v>
      </c>
      <c r="E181" s="3" t="s">
        <v>254</v>
      </c>
      <c r="F181" s="31">
        <f>_xlfn.XLOOKUP(E181,Cartons!$B:$B,Cartons!$C:$C,0)</f>
        <v>350000</v>
      </c>
      <c r="G181" s="33">
        <f>_xlfn.XLOOKUP($E$179,Cartons!$B:$B,Cartons!$F:$F,0)</f>
        <v>250</v>
      </c>
      <c r="H181" s="33">
        <f>_xlfn.XLOOKUP($E$179,Cartons!$B:$B,Cartons!$E:$E,0)</f>
        <v>150</v>
      </c>
    </row>
    <row r="182" spans="2:8" x14ac:dyDescent="0.45">
      <c r="B182" s="3" t="s">
        <v>308</v>
      </c>
      <c r="C182" s="3" t="s">
        <v>251</v>
      </c>
      <c r="D182" s="3" t="s">
        <v>310</v>
      </c>
      <c r="E182" s="3" t="s">
        <v>255</v>
      </c>
      <c r="F182" s="31">
        <f>_xlfn.XLOOKUP(E182,Cartons!$B:$B,Cartons!$C:$C,0)</f>
        <v>800000</v>
      </c>
      <c r="G182" s="33">
        <f>_xlfn.XLOOKUP($E$179,Cartons!$B:$B,Cartons!$F:$F,0)</f>
        <v>250</v>
      </c>
      <c r="H182" s="33">
        <f>_xlfn.XLOOKUP($E$179,Cartons!$B:$B,Cartons!$E:$E,0)</f>
        <v>150</v>
      </c>
    </row>
    <row r="183" spans="2:8" x14ac:dyDescent="0.45">
      <c r="B183" s="3" t="s">
        <v>308</v>
      </c>
      <c r="C183" s="3" t="s">
        <v>251</v>
      </c>
      <c r="D183" s="3" t="s">
        <v>309</v>
      </c>
      <c r="E183" s="3" t="s">
        <v>256</v>
      </c>
      <c r="F183" s="31">
        <f>_xlfn.XLOOKUP(E183,Cartons!$B:$B,Cartons!$C:$C,0)</f>
        <v>400000</v>
      </c>
      <c r="G183" s="33">
        <f>_xlfn.XLOOKUP($E$179,Cartons!$B:$B,Cartons!$F:$F,0)</f>
        <v>250</v>
      </c>
      <c r="H183" s="33">
        <f>_xlfn.XLOOKUP($E$179,Cartons!$B:$B,Cartons!$E:$E,0)</f>
        <v>150</v>
      </c>
    </row>
    <row r="184" spans="2:8" x14ac:dyDescent="0.45">
      <c r="B184" s="3" t="s">
        <v>308</v>
      </c>
      <c r="C184" s="3" t="s">
        <v>251</v>
      </c>
      <c r="D184" s="3" t="s">
        <v>309</v>
      </c>
      <c r="E184" s="3" t="s">
        <v>257</v>
      </c>
      <c r="F184" s="31">
        <f>_xlfn.XLOOKUP(E184,Cartons!$B:$B,Cartons!$C:$C,0)</f>
        <v>750000</v>
      </c>
      <c r="G184" s="33">
        <f>_xlfn.XLOOKUP($E$179,Cartons!$B:$B,Cartons!$F:$F,0)</f>
        <v>250</v>
      </c>
      <c r="H184" s="33">
        <f>_xlfn.XLOOKUP($E$179,Cartons!$B:$B,Cartons!$E:$E,0)</f>
        <v>150</v>
      </c>
    </row>
    <row r="185" spans="2:8" x14ac:dyDescent="0.45">
      <c r="B185" s="3" t="s">
        <v>308</v>
      </c>
      <c r="C185" s="3" t="s">
        <v>251</v>
      </c>
      <c r="D185" s="3" t="s">
        <v>311</v>
      </c>
      <c r="E185" s="3" t="s">
        <v>258</v>
      </c>
      <c r="F185" s="31">
        <f>_xlfn.XLOOKUP(E185,Cartons!$B:$B,Cartons!$C:$C,0)</f>
        <v>600000</v>
      </c>
      <c r="G185" s="33">
        <f>_xlfn.XLOOKUP($E$179,Cartons!$B:$B,Cartons!$F:$F,0)</f>
        <v>250</v>
      </c>
      <c r="H185" s="33">
        <f>_xlfn.XLOOKUP($E$179,Cartons!$B:$B,Cartons!$E:$E,0)</f>
        <v>150</v>
      </c>
    </row>
    <row r="186" spans="2:8" x14ac:dyDescent="0.45">
      <c r="B186" s="3" t="s">
        <v>308</v>
      </c>
      <c r="C186" s="3" t="s">
        <v>251</v>
      </c>
      <c r="D186" s="3" t="s">
        <v>312</v>
      </c>
      <c r="E186" s="3" t="s">
        <v>259</v>
      </c>
      <c r="F186" s="31">
        <f>_xlfn.XLOOKUP(E186,Cartons!$B:$B,Cartons!$C:$C,0)</f>
        <v>300000</v>
      </c>
      <c r="G186" s="33">
        <f>_xlfn.XLOOKUP($E$179,Cartons!$B:$B,Cartons!$F:$F,0)</f>
        <v>250</v>
      </c>
      <c r="H186" s="33">
        <f>_xlfn.XLOOKUP($E$179,Cartons!$B:$B,Cartons!$E:$E,0)</f>
        <v>150</v>
      </c>
    </row>
    <row r="187" spans="2:8" x14ac:dyDescent="0.45">
      <c r="B187" s="3" t="s">
        <v>308</v>
      </c>
      <c r="C187" s="3" t="s">
        <v>251</v>
      </c>
      <c r="D187" s="3" t="s">
        <v>312</v>
      </c>
      <c r="E187" s="3" t="s">
        <v>260</v>
      </c>
      <c r="F187" s="31">
        <f>_xlfn.XLOOKUP(E187,Cartons!$B:$B,Cartons!$C:$C,0)</f>
        <v>800000</v>
      </c>
      <c r="G187" s="33">
        <f>_xlfn.XLOOKUP($E$179,Cartons!$B:$B,Cartons!$F:$F,0)</f>
        <v>250</v>
      </c>
      <c r="H187" s="33">
        <f>_xlfn.XLOOKUP($E$179,Cartons!$B:$B,Cartons!$E:$E,0)</f>
        <v>150</v>
      </c>
    </row>
    <row r="188" spans="2:8" x14ac:dyDescent="0.45">
      <c r="B188" s="3" t="s">
        <v>308</v>
      </c>
      <c r="C188" s="3" t="s">
        <v>262</v>
      </c>
      <c r="D188" s="3" t="s">
        <v>263</v>
      </c>
      <c r="E188" s="3" t="s">
        <v>263</v>
      </c>
      <c r="F188" s="31">
        <f>_xlfn.XLOOKUP(E188,Cartons!$B:$B,Cartons!$C:$C,0)</f>
        <v>120000</v>
      </c>
      <c r="G188" s="33">
        <f>_xlfn.XLOOKUP($E$179,Cartons!$B:$B,Cartons!$F:$F,0)</f>
        <v>250</v>
      </c>
      <c r="H188" s="33">
        <f>_xlfn.XLOOKUP($E$179,Cartons!$B:$B,Cartons!$E:$E,0)</f>
        <v>150</v>
      </c>
    </row>
    <row r="189" spans="2:8" x14ac:dyDescent="0.45">
      <c r="B189" s="3" t="s">
        <v>308</v>
      </c>
      <c r="C189" s="3" t="s">
        <v>262</v>
      </c>
      <c r="D189" s="3" t="s">
        <v>313</v>
      </c>
      <c r="E189" s="3" t="s">
        <v>264</v>
      </c>
      <c r="F189" s="31">
        <f>_xlfn.XLOOKUP(E189,Cartons!$B:$B,Cartons!$C:$C,0)</f>
        <v>500000</v>
      </c>
      <c r="G189" s="33">
        <f>_xlfn.XLOOKUP($E$179,Cartons!$B:$B,Cartons!$F:$F,0)</f>
        <v>250</v>
      </c>
      <c r="H189" s="33">
        <f>_xlfn.XLOOKUP($E$179,Cartons!$B:$B,Cartons!$E:$E,0)</f>
        <v>150</v>
      </c>
    </row>
    <row r="190" spans="2:8" x14ac:dyDescent="0.45">
      <c r="B190" s="3" t="s">
        <v>308</v>
      </c>
      <c r="C190" s="3" t="s">
        <v>262</v>
      </c>
      <c r="D190" s="3" t="s">
        <v>314</v>
      </c>
      <c r="E190" s="3" t="s">
        <v>265</v>
      </c>
      <c r="F190" s="31">
        <f>_xlfn.XLOOKUP(E190,Cartons!$B:$B,Cartons!$C:$C,0)</f>
        <v>500000</v>
      </c>
      <c r="G190" s="33">
        <f>_xlfn.XLOOKUP($E$179,Cartons!$B:$B,Cartons!$F:$F,0)</f>
        <v>250</v>
      </c>
      <c r="H190" s="33">
        <f>_xlfn.XLOOKUP($E$179,Cartons!$B:$B,Cartons!$E:$E,0)</f>
        <v>150</v>
      </c>
    </row>
    <row r="191" spans="2:8" x14ac:dyDescent="0.45">
      <c r="B191" s="3" t="s">
        <v>308</v>
      </c>
      <c r="C191" s="3" t="s">
        <v>262</v>
      </c>
      <c r="D191" s="3" t="s">
        <v>266</v>
      </c>
      <c r="E191" s="3" t="s">
        <v>266</v>
      </c>
      <c r="F191" s="31">
        <f>_xlfn.XLOOKUP(E191,Cartons!$B:$B,Cartons!$C:$C,0)</f>
        <v>150000</v>
      </c>
      <c r="G191" s="33">
        <f>_xlfn.XLOOKUP($E$179,Cartons!$B:$B,Cartons!$F:$F,0)</f>
        <v>250</v>
      </c>
      <c r="H191" s="33">
        <f>_xlfn.XLOOKUP($E$179,Cartons!$B:$B,Cartons!$E:$E,0)</f>
        <v>150</v>
      </c>
    </row>
    <row r="192" spans="2:8" x14ac:dyDescent="0.45">
      <c r="B192" s="3" t="s">
        <v>308</v>
      </c>
      <c r="C192" s="3" t="s">
        <v>262</v>
      </c>
      <c r="D192" s="3" t="s">
        <v>267</v>
      </c>
      <c r="E192" s="3" t="s">
        <v>267</v>
      </c>
      <c r="F192" s="31">
        <f>_xlfn.XLOOKUP(E192,Cartons!$B:$B,Cartons!$C:$C,0)</f>
        <v>100000</v>
      </c>
      <c r="G192" s="33">
        <f>_xlfn.XLOOKUP($E$179,Cartons!$B:$B,Cartons!$F:$F,0)</f>
        <v>250</v>
      </c>
      <c r="H192" s="33">
        <f>_xlfn.XLOOKUP($E$179,Cartons!$B:$B,Cartons!$E:$E,0)</f>
        <v>150</v>
      </c>
    </row>
    <row r="193" spans="2:8" x14ac:dyDescent="0.45">
      <c r="B193" s="3" t="s">
        <v>308</v>
      </c>
      <c r="C193" s="3" t="s">
        <v>262</v>
      </c>
      <c r="D193" s="3" t="s">
        <v>268</v>
      </c>
      <c r="E193" s="3" t="s">
        <v>268</v>
      </c>
      <c r="F193" s="31" t="str">
        <f>_xlfn.XLOOKUP(E193,Cartons!$B:$B,Cartons!$C:$C,0)</f>
        <v>2,00,000</v>
      </c>
      <c r="G193" s="33">
        <f>_xlfn.XLOOKUP($E$179,Cartons!$B:$B,Cartons!$F:$F,0)</f>
        <v>250</v>
      </c>
      <c r="H193" s="33">
        <f>_xlfn.XLOOKUP($E$179,Cartons!$B:$B,Cartons!$E:$E,0)</f>
        <v>150</v>
      </c>
    </row>
    <row r="194" spans="2:8" x14ac:dyDescent="0.45">
      <c r="B194" s="3" t="s">
        <v>308</v>
      </c>
      <c r="C194" s="3" t="s">
        <v>262</v>
      </c>
      <c r="D194" s="3" t="s">
        <v>144</v>
      </c>
      <c r="E194" s="3" t="s">
        <v>144</v>
      </c>
      <c r="F194" s="31">
        <f>_xlfn.XLOOKUP(E194,Cartons!$B:$B,Cartons!$C:$C,0)</f>
        <v>250000</v>
      </c>
      <c r="G194" s="33">
        <f>_xlfn.XLOOKUP($E$179,Cartons!$B:$B,Cartons!$F:$F,0)</f>
        <v>250</v>
      </c>
      <c r="H194" s="33">
        <f>_xlfn.XLOOKUP($E$179,Cartons!$B:$B,Cartons!$E:$E,0)</f>
        <v>150</v>
      </c>
    </row>
    <row r="195" spans="2:8" x14ac:dyDescent="0.45">
      <c r="B195" s="3" t="s">
        <v>308</v>
      </c>
      <c r="C195" s="3" t="s">
        <v>270</v>
      </c>
      <c r="D195" s="3" t="s">
        <v>271</v>
      </c>
      <c r="E195" s="3" t="s">
        <v>271</v>
      </c>
      <c r="F195" s="31">
        <f>_xlfn.XLOOKUP(E195,Cartons!$B:$B,Cartons!$C:$C,0)</f>
        <v>250000</v>
      </c>
      <c r="G195" s="33">
        <f>_xlfn.XLOOKUP($E$179,Cartons!$B:$B,Cartons!$F:$F,0)</f>
        <v>250</v>
      </c>
      <c r="H195" s="33">
        <f>_xlfn.XLOOKUP($E$179,Cartons!$B:$B,Cartons!$E:$E,0)</f>
        <v>150</v>
      </c>
    </row>
    <row r="196" spans="2:8" x14ac:dyDescent="0.45">
      <c r="B196" s="3" t="s">
        <v>308</v>
      </c>
      <c r="C196" s="3" t="s">
        <v>113</v>
      </c>
      <c r="D196" s="3" t="s">
        <v>272</v>
      </c>
      <c r="E196" s="3" t="s">
        <v>272</v>
      </c>
      <c r="F196" s="31">
        <f>_xlfn.XLOOKUP(E196,Cartons!$B:$B,Cartons!$C:$C,0)</f>
        <v>65000</v>
      </c>
      <c r="G196" s="33">
        <f>_xlfn.XLOOKUP($E$179,Cartons!$B:$B,Cartons!$F:$F,0)</f>
        <v>250</v>
      </c>
      <c r="H196" s="33">
        <f>_xlfn.XLOOKUP($E$179,Cartons!$B:$B,Cartons!$E:$E,0)</f>
        <v>150</v>
      </c>
    </row>
    <row r="197" spans="2:8" x14ac:dyDescent="0.45">
      <c r="B197" s="3" t="s">
        <v>308</v>
      </c>
      <c r="C197" s="3" t="s">
        <v>113</v>
      </c>
      <c r="D197" s="3" t="s">
        <v>273</v>
      </c>
      <c r="E197" s="3" t="s">
        <v>273</v>
      </c>
      <c r="F197" s="31">
        <f>_xlfn.XLOOKUP(E197,Cartons!$B:$B,Cartons!$C:$C,0)</f>
        <v>150000</v>
      </c>
      <c r="G197" s="33">
        <f>_xlfn.XLOOKUP($E$179,Cartons!$B:$B,Cartons!$F:$F,0)</f>
        <v>250</v>
      </c>
      <c r="H197" s="33">
        <f>_xlfn.XLOOKUP($E$179,Cartons!$B:$B,Cartons!$E:$E,0)</f>
        <v>150</v>
      </c>
    </row>
    <row r="198" spans="2:8" x14ac:dyDescent="0.45">
      <c r="B198" s="3" t="s">
        <v>308</v>
      </c>
      <c r="C198" s="3" t="s">
        <v>113</v>
      </c>
      <c r="D198" s="3" t="s">
        <v>315</v>
      </c>
      <c r="E198" s="3" t="s">
        <v>274</v>
      </c>
      <c r="F198" s="31">
        <f>_xlfn.XLOOKUP(E198,Cartons!$B:$B,Cartons!$C:$C,0)</f>
        <v>450000</v>
      </c>
      <c r="G198" s="33">
        <f>_xlfn.XLOOKUP($E$179,Cartons!$B:$B,Cartons!$F:$F,0)</f>
        <v>250</v>
      </c>
      <c r="H198" s="33">
        <f>_xlfn.XLOOKUP($E$179,Cartons!$B:$B,Cartons!$E:$E,0)</f>
        <v>150</v>
      </c>
    </row>
    <row r="199" spans="2:8" x14ac:dyDescent="0.45">
      <c r="B199" s="3" t="s">
        <v>308</v>
      </c>
      <c r="C199" s="3" t="s">
        <v>113</v>
      </c>
      <c r="D199" s="3" t="s">
        <v>275</v>
      </c>
      <c r="E199" s="3" t="s">
        <v>275</v>
      </c>
      <c r="F199" s="31">
        <f>_xlfn.XLOOKUP(E199,Cartons!$B:$B,Cartons!$C:$C,0)</f>
        <v>600000</v>
      </c>
      <c r="G199" s="33">
        <f>_xlfn.XLOOKUP($E$179,Cartons!$B:$B,Cartons!$F:$F,0)</f>
        <v>250</v>
      </c>
      <c r="H199" s="33">
        <f>_xlfn.XLOOKUP($E$179,Cartons!$B:$B,Cartons!$E:$E,0)</f>
        <v>150</v>
      </c>
    </row>
    <row r="200" spans="2:8" x14ac:dyDescent="0.45">
      <c r="B200" s="3" t="s">
        <v>308</v>
      </c>
      <c r="C200" s="3" t="s">
        <v>113</v>
      </c>
      <c r="D200" s="3" t="s">
        <v>276</v>
      </c>
      <c r="E200" s="3" t="s">
        <v>276</v>
      </c>
      <c r="F200" s="31">
        <f>_xlfn.XLOOKUP(E200,Cartons!$B:$B,Cartons!$C:$C,0)</f>
        <v>450000</v>
      </c>
      <c r="G200" s="33">
        <f>_xlfn.XLOOKUP($E$179,Cartons!$B:$B,Cartons!$F:$F,0)</f>
        <v>250</v>
      </c>
      <c r="H200" s="33">
        <f>_xlfn.XLOOKUP($E$179,Cartons!$B:$B,Cartons!$E:$E,0)</f>
        <v>150</v>
      </c>
    </row>
    <row r="201" spans="2:8" x14ac:dyDescent="0.45">
      <c r="B201" s="3" t="s">
        <v>308</v>
      </c>
      <c r="C201" s="3" t="s">
        <v>113</v>
      </c>
      <c r="D201" s="3" t="s">
        <v>322</v>
      </c>
      <c r="E201" s="3" t="s">
        <v>277</v>
      </c>
      <c r="F201" s="31">
        <f>_xlfn.XLOOKUP(E201,Cartons!$B:$B,Cartons!$C:$C,0)</f>
        <v>400000</v>
      </c>
      <c r="G201" s="33">
        <f>_xlfn.XLOOKUP($E$179,Cartons!$B:$B,Cartons!$F:$F,0)</f>
        <v>250</v>
      </c>
      <c r="H201" s="33">
        <f>_xlfn.XLOOKUP($E$179,Cartons!$B:$B,Cartons!$E:$E,0)</f>
        <v>150</v>
      </c>
    </row>
    <row r="202" spans="2:8" x14ac:dyDescent="0.45">
      <c r="B202" s="3" t="s">
        <v>308</v>
      </c>
      <c r="C202" s="3" t="s">
        <v>113</v>
      </c>
      <c r="D202" s="3" t="s">
        <v>321</v>
      </c>
      <c r="E202" s="3" t="s">
        <v>278</v>
      </c>
      <c r="F202" s="31">
        <f>_xlfn.XLOOKUP(E202,Cartons!$B:$B,Cartons!$C:$C,0)</f>
        <v>90000</v>
      </c>
      <c r="G202" s="33">
        <f>_xlfn.XLOOKUP($E$179,Cartons!$B:$B,Cartons!$F:$F,0)</f>
        <v>250</v>
      </c>
      <c r="H202" s="33">
        <f>_xlfn.XLOOKUP($E$179,Cartons!$B:$B,Cartons!$E:$E,0)</f>
        <v>150</v>
      </c>
    </row>
    <row r="203" spans="2:8" x14ac:dyDescent="0.45">
      <c r="B203" s="3" t="s">
        <v>308</v>
      </c>
      <c r="C203" s="3" t="s">
        <v>113</v>
      </c>
      <c r="D203" s="3" t="s">
        <v>320</v>
      </c>
      <c r="E203" s="3" t="s">
        <v>279</v>
      </c>
      <c r="F203" s="31">
        <f>_xlfn.XLOOKUP(E203,Cartons!$B:$B,Cartons!$C:$C,0)</f>
        <v>150000</v>
      </c>
      <c r="G203" s="33">
        <f>_xlfn.XLOOKUP($E$179,Cartons!$B:$B,Cartons!$F:$F,0)</f>
        <v>250</v>
      </c>
      <c r="H203" s="33">
        <f>_xlfn.XLOOKUP($E$179,Cartons!$B:$B,Cartons!$E:$E,0)</f>
        <v>150</v>
      </c>
    </row>
    <row r="204" spans="2:8" x14ac:dyDescent="0.45">
      <c r="B204" s="3" t="s">
        <v>308</v>
      </c>
      <c r="C204" s="3" t="s">
        <v>113</v>
      </c>
      <c r="D204" s="3" t="s">
        <v>319</v>
      </c>
      <c r="E204" s="3" t="s">
        <v>280</v>
      </c>
      <c r="F204" s="31">
        <f>_xlfn.XLOOKUP(E204,Cartons!$B:$B,Cartons!$C:$C,0)</f>
        <v>100000</v>
      </c>
      <c r="G204" s="33">
        <f>_xlfn.XLOOKUP($E$179,Cartons!$B:$B,Cartons!$F:$F,0)</f>
        <v>250</v>
      </c>
      <c r="H204" s="33">
        <f>_xlfn.XLOOKUP($E$179,Cartons!$B:$B,Cartons!$E:$E,0)</f>
        <v>150</v>
      </c>
    </row>
    <row r="205" spans="2:8" x14ac:dyDescent="0.45">
      <c r="B205" s="3" t="s">
        <v>308</v>
      </c>
      <c r="C205" s="3" t="s">
        <v>113</v>
      </c>
      <c r="D205" s="3" t="s">
        <v>318</v>
      </c>
      <c r="E205" s="3" t="s">
        <v>281</v>
      </c>
      <c r="F205" s="31">
        <f>_xlfn.XLOOKUP(E205,Cartons!$B:$B,Cartons!$C:$C,0)</f>
        <v>80000</v>
      </c>
      <c r="G205" s="33">
        <f>_xlfn.XLOOKUP($E$179,Cartons!$B:$B,Cartons!$F:$F,0)</f>
        <v>250</v>
      </c>
      <c r="H205" s="33">
        <f>_xlfn.XLOOKUP($E$179,Cartons!$B:$B,Cartons!$E:$E,0)</f>
        <v>150</v>
      </c>
    </row>
    <row r="206" spans="2:8" x14ac:dyDescent="0.45">
      <c r="B206" s="3" t="s">
        <v>308</v>
      </c>
      <c r="C206" s="3" t="s">
        <v>113</v>
      </c>
      <c r="D206" s="3" t="s">
        <v>317</v>
      </c>
      <c r="E206" s="3" t="s">
        <v>282</v>
      </c>
      <c r="F206" s="31">
        <f>_xlfn.XLOOKUP(E206,Cartons!$B:$B,Cartons!$C:$C,0)</f>
        <v>30000</v>
      </c>
      <c r="G206" s="33">
        <f>_xlfn.XLOOKUP($E$179,Cartons!$B:$B,Cartons!$F:$F,0)</f>
        <v>250</v>
      </c>
      <c r="H206" s="33">
        <f>_xlfn.XLOOKUP($E$179,Cartons!$B:$B,Cartons!$E:$E,0)</f>
        <v>150</v>
      </c>
    </row>
    <row r="207" spans="2:8" x14ac:dyDescent="0.45">
      <c r="B207" s="3" t="s">
        <v>308</v>
      </c>
      <c r="C207" s="3" t="s">
        <v>283</v>
      </c>
      <c r="D207" s="3" t="s">
        <v>284</v>
      </c>
      <c r="E207" s="3" t="s">
        <v>284</v>
      </c>
      <c r="F207" s="31">
        <f>_xlfn.XLOOKUP(E207,Cartons!$B:$B,Cartons!$C:$C,0)</f>
        <v>700000</v>
      </c>
      <c r="G207" s="33">
        <f>_xlfn.XLOOKUP($E$179,Cartons!$B:$B,Cartons!$F:$F,0)</f>
        <v>250</v>
      </c>
      <c r="H207" s="33">
        <f>_xlfn.XLOOKUP($E$179,Cartons!$B:$B,Cartons!$E:$E,0)</f>
        <v>150</v>
      </c>
    </row>
    <row r="208" spans="2:8" x14ac:dyDescent="0.45">
      <c r="B208" s="3" t="s">
        <v>308</v>
      </c>
      <c r="C208" s="3" t="s">
        <v>283</v>
      </c>
      <c r="D208" s="3" t="s">
        <v>316</v>
      </c>
      <c r="E208" s="3" t="s">
        <v>285</v>
      </c>
      <c r="F208" s="31">
        <f>_xlfn.XLOOKUP(E208,Cartons!$B:$B,Cartons!$C:$C,0)</f>
        <v>150000</v>
      </c>
      <c r="G208" s="33">
        <f>_xlfn.XLOOKUP($E$179,Cartons!$B:$B,Cartons!$F:$F,0)</f>
        <v>250</v>
      </c>
      <c r="H208" s="33">
        <f>_xlfn.XLOOKUP($E$179,Cartons!$B:$B,Cartons!$E:$E,0)</f>
        <v>150</v>
      </c>
    </row>
    <row r="209" spans="2:8" x14ac:dyDescent="0.45">
      <c r="B209" s="3" t="s">
        <v>308</v>
      </c>
      <c r="C209" s="3" t="s">
        <v>286</v>
      </c>
      <c r="D209" s="3" t="s">
        <v>287</v>
      </c>
      <c r="E209" s="3" t="s">
        <v>287</v>
      </c>
      <c r="F209" s="31">
        <f>_xlfn.XLOOKUP(E209,Cartons!$B:$B,Cartons!$C:$C,0)</f>
        <v>600000</v>
      </c>
      <c r="G209" s="33">
        <f>_xlfn.XLOOKUP($E$179,Cartons!$B:$B,Cartons!$F:$F,0)</f>
        <v>250</v>
      </c>
      <c r="H209" s="33">
        <f>_xlfn.XLOOKUP($E$179,Cartons!$B:$B,Cartons!$E:$E,0)</f>
        <v>150</v>
      </c>
    </row>
    <row r="210" spans="2:8" x14ac:dyDescent="0.45">
      <c r="B210" s="3" t="s">
        <v>323</v>
      </c>
      <c r="C210" s="3" t="s">
        <v>289</v>
      </c>
      <c r="D210" s="3" t="s">
        <v>290</v>
      </c>
      <c r="E210" s="3" t="s">
        <v>290</v>
      </c>
      <c r="F210" s="31">
        <f>_xlfn.XLOOKUP(E210,PCR!$B:$B,PCR!$D:$D,0)</f>
        <v>4599811.6535</v>
      </c>
      <c r="G210" s="34"/>
      <c r="H210" s="34"/>
    </row>
    <row r="211" spans="2:8" x14ac:dyDescent="0.45">
      <c r="B211" s="3" t="s">
        <v>323</v>
      </c>
      <c r="C211" s="3" t="s">
        <v>289</v>
      </c>
      <c r="D211" s="3" t="s">
        <v>292</v>
      </c>
      <c r="E211" s="3" t="s">
        <v>292</v>
      </c>
      <c r="F211" s="31">
        <f>_xlfn.XLOOKUP(E211,PCR!$B:$B,PCR!$D:$D,0)</f>
        <v>6641887.9350000005</v>
      </c>
      <c r="G211" s="34"/>
      <c r="H211" s="34"/>
    </row>
    <row r="212" spans="2:8" x14ac:dyDescent="0.45">
      <c r="B212" s="3" t="s">
        <v>323</v>
      </c>
      <c r="C212" s="3" t="s">
        <v>293</v>
      </c>
      <c r="D212" s="3" t="s">
        <v>294</v>
      </c>
      <c r="E212" s="3" t="s">
        <v>294</v>
      </c>
      <c r="F212" s="31">
        <f>_xlfn.XLOOKUP(E212,PCR!$B:$B,PCR!$D:$D,0)</f>
        <v>297700</v>
      </c>
      <c r="G212" s="34"/>
      <c r="H212" s="34"/>
    </row>
    <row r="213" spans="2:8" x14ac:dyDescent="0.45">
      <c r="B213" s="3" t="s">
        <v>323</v>
      </c>
      <c r="C213" s="3" t="s">
        <v>296</v>
      </c>
      <c r="D213" s="3" t="s">
        <v>297</v>
      </c>
      <c r="E213" s="3" t="s">
        <v>297</v>
      </c>
      <c r="F213" s="31">
        <f>_xlfn.XLOOKUP(E213,PCR!$B:$B,PCR!$D:$D,0)</f>
        <v>750000</v>
      </c>
      <c r="G213" s="34"/>
      <c r="H213" s="34"/>
    </row>
    <row r="214" spans="2:8" x14ac:dyDescent="0.45">
      <c r="B214" s="3" t="s">
        <v>323</v>
      </c>
      <c r="C214" s="3" t="s">
        <v>299</v>
      </c>
      <c r="D214" s="3" t="s">
        <v>300</v>
      </c>
      <c r="E214" s="3" t="s">
        <v>300</v>
      </c>
      <c r="F214" s="31">
        <f>_xlfn.XLOOKUP(E214,PCR!$B:$B,PCR!$D:$D,0)</f>
        <v>313050</v>
      </c>
      <c r="G214" s="34"/>
      <c r="H214" s="34"/>
    </row>
  </sheetData>
  <autoFilter ref="B3:F3" xr:uid="{C856E15F-2352-4125-88C8-FC62222264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0"/>
  <sheetViews>
    <sheetView workbookViewId="0">
      <selection activeCell="A16" sqref="A16"/>
    </sheetView>
  </sheetViews>
  <sheetFormatPr defaultColWidth="19.796875" defaultRowHeight="14.25" x14ac:dyDescent="0.45"/>
  <cols>
    <col min="2" max="2" width="16.46484375" customWidth="1"/>
    <col min="3" max="3" width="90.59765625" bestFit="1" customWidth="1"/>
    <col min="4" max="4" width="11.9296875" customWidth="1"/>
    <col min="5" max="5" width="17.6640625" customWidth="1"/>
    <col min="6" max="6" width="5.86328125" customWidth="1"/>
    <col min="7" max="7" width="16.33203125" customWidth="1"/>
  </cols>
  <sheetData>
    <row r="2" spans="1:7" x14ac:dyDescent="0.45">
      <c r="A2" s="1"/>
    </row>
    <row r="4" spans="1:7" x14ac:dyDescent="0.45">
      <c r="A4" s="11" t="s">
        <v>1</v>
      </c>
      <c r="B4" s="12"/>
      <c r="C4" s="12"/>
      <c r="E4" s="12"/>
      <c r="F4" s="12"/>
      <c r="G4" s="12"/>
    </row>
    <row r="5" spans="1:7" x14ac:dyDescent="0.45">
      <c r="A5" s="13" t="s">
        <v>2</v>
      </c>
      <c r="B5" s="13" t="s">
        <v>3</v>
      </c>
      <c r="C5" s="13" t="s">
        <v>4</v>
      </c>
      <c r="D5" s="13" t="s">
        <v>80</v>
      </c>
      <c r="E5" s="13" t="s">
        <v>5</v>
      </c>
      <c r="F5" s="13" t="s">
        <v>6</v>
      </c>
      <c r="G5" s="13" t="s">
        <v>7</v>
      </c>
    </row>
    <row r="6" spans="1:7" x14ac:dyDescent="0.45">
      <c r="A6" s="14" t="s">
        <v>0</v>
      </c>
      <c r="B6" s="14" t="s">
        <v>8</v>
      </c>
      <c r="C6" s="14" t="s">
        <v>9</v>
      </c>
      <c r="D6" s="6">
        <f>(285000+25000)*(100%+$B$70)</f>
        <v>323485.00000000006</v>
      </c>
      <c r="E6" s="6">
        <v>35</v>
      </c>
      <c r="F6" s="6"/>
      <c r="G6" s="6">
        <v>40</v>
      </c>
    </row>
    <row r="7" spans="1:7" x14ac:dyDescent="0.45">
      <c r="A7" s="14" t="s">
        <v>0</v>
      </c>
      <c r="B7" s="14" t="s">
        <v>8</v>
      </c>
      <c r="C7" s="14" t="s">
        <v>10</v>
      </c>
      <c r="D7" s="6">
        <f>(450000+25000)*(100%+$B$70)</f>
        <v>495662.50000000006</v>
      </c>
      <c r="E7" s="6">
        <v>80</v>
      </c>
      <c r="F7" s="6"/>
      <c r="G7" s="6">
        <v>40</v>
      </c>
    </row>
    <row r="8" spans="1:7" x14ac:dyDescent="0.45">
      <c r="A8" s="14" t="s">
        <v>0</v>
      </c>
      <c r="B8" s="14" t="s">
        <v>11</v>
      </c>
      <c r="C8" s="14" t="s">
        <v>11</v>
      </c>
      <c r="D8" s="6">
        <f>(310000+25000)*(100%+$B$70)</f>
        <v>349572.50000000006</v>
      </c>
      <c r="E8" s="6">
        <v>65</v>
      </c>
      <c r="F8" s="6"/>
      <c r="G8" s="6">
        <v>40</v>
      </c>
    </row>
    <row r="9" spans="1:7" x14ac:dyDescent="0.45">
      <c r="A9" s="14" t="s">
        <v>0</v>
      </c>
      <c r="B9" s="14" t="s">
        <v>12</v>
      </c>
      <c r="C9" s="14" t="s">
        <v>12</v>
      </c>
      <c r="D9" s="6">
        <f>(310000+25000)*(100%+$B$70)</f>
        <v>349572.50000000006</v>
      </c>
      <c r="E9" s="6">
        <v>65</v>
      </c>
      <c r="F9" s="6"/>
      <c r="G9" s="6">
        <v>40</v>
      </c>
    </row>
    <row r="10" spans="1:7" x14ac:dyDescent="0.45">
      <c r="A10" s="14" t="s">
        <v>0</v>
      </c>
      <c r="B10" s="14" t="s">
        <v>13</v>
      </c>
      <c r="C10" s="14" t="s">
        <v>13</v>
      </c>
      <c r="D10" s="6">
        <f>(95000+25000)*(100%+$B$70)</f>
        <v>125220.00000000001</v>
      </c>
      <c r="E10" s="6">
        <v>65</v>
      </c>
      <c r="F10" s="6"/>
      <c r="G10" s="6">
        <v>40</v>
      </c>
    </row>
    <row r="11" spans="1:7" x14ac:dyDescent="0.45">
      <c r="A11" s="14" t="s">
        <v>0</v>
      </c>
      <c r="B11" s="14" t="s">
        <v>14</v>
      </c>
      <c r="C11" s="14" t="s">
        <v>15</v>
      </c>
      <c r="D11" s="6">
        <f>(1000000+25000)*(100%+$B$70)</f>
        <v>1069587.5</v>
      </c>
      <c r="E11" s="6">
        <v>125</v>
      </c>
      <c r="F11" s="6"/>
      <c r="G11" s="6">
        <v>40</v>
      </c>
    </row>
    <row r="12" spans="1:7" x14ac:dyDescent="0.45">
      <c r="A12" s="14" t="s">
        <v>0</v>
      </c>
      <c r="B12" s="14" t="s">
        <v>16</v>
      </c>
      <c r="C12" s="14" t="s">
        <v>17</v>
      </c>
      <c r="D12" s="6">
        <f>(265000*120%+25000)*(100%+$B$70)</f>
        <v>357920.50000000006</v>
      </c>
      <c r="E12" s="6">
        <f>35*2</f>
        <v>70</v>
      </c>
      <c r="F12" s="6"/>
      <c r="G12" s="6">
        <v>40</v>
      </c>
    </row>
    <row r="13" spans="1:7" x14ac:dyDescent="0.45">
      <c r="A13" s="14" t="s">
        <v>0</v>
      </c>
      <c r="B13" s="14" t="s">
        <v>16</v>
      </c>
      <c r="C13" s="14" t="s">
        <v>18</v>
      </c>
      <c r="D13" s="6">
        <f>(550000+25000)*(100%+$B$70)</f>
        <v>600012.5</v>
      </c>
      <c r="E13" s="6">
        <f>35*2</f>
        <v>70</v>
      </c>
      <c r="F13" s="6"/>
      <c r="G13" s="6">
        <v>40</v>
      </c>
    </row>
    <row r="14" spans="1:7" x14ac:dyDescent="0.45">
      <c r="A14" s="14" t="s">
        <v>0</v>
      </c>
      <c r="B14" s="14" t="s">
        <v>19</v>
      </c>
      <c r="C14" s="14" t="s">
        <v>20</v>
      </c>
      <c r="D14" s="6">
        <f>(900000*120%+25000)*(100%+$B$70)</f>
        <v>1153067.5</v>
      </c>
      <c r="E14" s="6">
        <f>65*2</f>
        <v>130</v>
      </c>
      <c r="F14" s="6"/>
      <c r="G14" s="6">
        <v>40</v>
      </c>
    </row>
    <row r="15" spans="1:7" x14ac:dyDescent="0.45">
      <c r="A15" s="14" t="s">
        <v>0</v>
      </c>
      <c r="B15" s="14" t="s">
        <v>73</v>
      </c>
      <c r="C15" s="14" t="s">
        <v>74</v>
      </c>
      <c r="D15" s="6">
        <f>(95000+25000)*(100%+$B$70)</f>
        <v>125220.00000000001</v>
      </c>
      <c r="E15" s="6">
        <v>40</v>
      </c>
      <c r="F15" s="6"/>
      <c r="G15" s="6">
        <v>20</v>
      </c>
    </row>
    <row r="16" spans="1:7" x14ac:dyDescent="0.45">
      <c r="A16" s="14" t="s">
        <v>0</v>
      </c>
      <c r="B16" s="14" t="s">
        <v>350</v>
      </c>
      <c r="C16" s="14" t="s">
        <v>351</v>
      </c>
      <c r="D16" s="6">
        <f>(350000+25000)*(100%+$B$70)</f>
        <v>391312.50000000006</v>
      </c>
      <c r="E16" s="6">
        <v>90</v>
      </c>
      <c r="F16" s="6"/>
      <c r="G16" s="6">
        <v>50</v>
      </c>
    </row>
    <row r="17" spans="1:9" x14ac:dyDescent="0.45">
      <c r="A17" s="14" t="s">
        <v>0</v>
      </c>
      <c r="B17" s="14" t="s">
        <v>352</v>
      </c>
      <c r="C17" s="14" t="s">
        <v>353</v>
      </c>
      <c r="D17" s="6">
        <f>(450000+25000)*(100%+$B$70)</f>
        <v>495662.50000000006</v>
      </c>
      <c r="E17" s="6">
        <v>120</v>
      </c>
      <c r="F17" s="6"/>
      <c r="G17" s="6">
        <v>71.5</v>
      </c>
    </row>
    <row r="18" spans="1:9" x14ac:dyDescent="0.45">
      <c r="A18" s="14" t="s">
        <v>0</v>
      </c>
      <c r="B18" s="14" t="s">
        <v>11</v>
      </c>
      <c r="C18" s="14" t="s">
        <v>354</v>
      </c>
      <c r="D18" s="6">
        <f>(420000+25000)*(100%+$B$70)</f>
        <v>464357.50000000006</v>
      </c>
      <c r="E18" s="6">
        <v>80</v>
      </c>
      <c r="F18" s="6"/>
      <c r="G18" s="6">
        <v>55</v>
      </c>
    </row>
    <row r="19" spans="1:9" x14ac:dyDescent="0.45">
      <c r="A19" s="14" t="s">
        <v>0</v>
      </c>
      <c r="B19" s="14" t="s">
        <v>8</v>
      </c>
      <c r="C19" s="14" t="s">
        <v>355</v>
      </c>
      <c r="D19" s="6">
        <f>(350000+25000)*(100%+$B$70)</f>
        <v>391312.50000000006</v>
      </c>
      <c r="E19" s="6">
        <v>85</v>
      </c>
      <c r="F19" s="6"/>
      <c r="G19" s="6">
        <v>55</v>
      </c>
    </row>
    <row r="20" spans="1:9" x14ac:dyDescent="0.45">
      <c r="A20" s="14" t="s">
        <v>0</v>
      </c>
      <c r="B20" s="14" t="s">
        <v>356</v>
      </c>
      <c r="C20" s="14" t="s">
        <v>357</v>
      </c>
      <c r="D20" s="6">
        <f>(160000+25000)*(100%+$B$70)</f>
        <v>193047.50000000003</v>
      </c>
      <c r="E20" s="6">
        <v>65</v>
      </c>
      <c r="F20" s="6"/>
      <c r="G20" s="6">
        <v>45</v>
      </c>
    </row>
    <row r="21" spans="1:9" x14ac:dyDescent="0.45">
      <c r="A21" s="14" t="s">
        <v>67</v>
      </c>
      <c r="B21" s="14" t="s">
        <v>33</v>
      </c>
      <c r="C21" s="14" t="s">
        <v>34</v>
      </c>
      <c r="D21" s="6">
        <f>95454.5454545454*120%+$D$48*(1+$B$70)</f>
        <v>140632.95454545447</v>
      </c>
      <c r="E21" s="6">
        <v>22</v>
      </c>
      <c r="F21" s="6"/>
      <c r="G21" s="6">
        <v>40</v>
      </c>
      <c r="I21" s="10"/>
    </row>
    <row r="22" spans="1:9" x14ac:dyDescent="0.45">
      <c r="A22" s="14" t="s">
        <v>67</v>
      </c>
      <c r="B22" s="14" t="s">
        <v>33</v>
      </c>
      <c r="C22" s="14" t="s">
        <v>35</v>
      </c>
      <c r="D22" s="6">
        <f>159090.909090909*120%+$D$48*(1+$B$70)</f>
        <v>216996.5909090908</v>
      </c>
      <c r="E22" s="6">
        <v>44</v>
      </c>
      <c r="F22" s="6"/>
      <c r="G22" s="6">
        <v>40</v>
      </c>
      <c r="I22" s="10"/>
    </row>
    <row r="23" spans="1:9" x14ac:dyDescent="0.45">
      <c r="A23" s="14" t="s">
        <v>67</v>
      </c>
      <c r="B23" s="14" t="s">
        <v>33</v>
      </c>
      <c r="C23" s="14" t="s">
        <v>36</v>
      </c>
      <c r="D23" s="6">
        <f>190909.090909091*120%+$D$48*(1+$B$70)</f>
        <v>255178.4090909092</v>
      </c>
      <c r="E23" s="6">
        <v>66</v>
      </c>
      <c r="F23" s="6"/>
      <c r="G23" s="6">
        <v>40</v>
      </c>
      <c r="I23" s="10"/>
    </row>
    <row r="24" spans="1:9" x14ac:dyDescent="0.45">
      <c r="A24" s="14" t="s">
        <v>67</v>
      </c>
      <c r="B24" s="14" t="s">
        <v>33</v>
      </c>
      <c r="C24" s="14" t="s">
        <v>37</v>
      </c>
      <c r="D24" s="6">
        <f>222727.272727273*120%+$D$48*(1+$B$70)</f>
        <v>293360.22727272758</v>
      </c>
      <c r="E24" s="6">
        <v>66</v>
      </c>
      <c r="F24" s="6"/>
      <c r="G24" s="6">
        <v>40</v>
      </c>
      <c r="I24" s="10"/>
    </row>
    <row r="25" spans="1:9" x14ac:dyDescent="0.45">
      <c r="A25" s="14" t="s">
        <v>67</v>
      </c>
      <c r="B25" s="14" t="s">
        <v>33</v>
      </c>
      <c r="C25" s="14" t="s">
        <v>38</v>
      </c>
      <c r="D25" s="6">
        <f>254545.454545455*120%+$D$48*(1+$B$70)</f>
        <v>331542.04545454599</v>
      </c>
      <c r="E25" s="6">
        <v>66</v>
      </c>
      <c r="F25" s="6"/>
      <c r="G25" s="6">
        <v>40</v>
      </c>
      <c r="I25" s="10"/>
    </row>
    <row r="26" spans="1:9" x14ac:dyDescent="0.45">
      <c r="A26" s="14" t="s">
        <v>67</v>
      </c>
      <c r="B26" s="14" t="s">
        <v>39</v>
      </c>
      <c r="C26" s="14" t="s">
        <v>40</v>
      </c>
      <c r="D26" s="6">
        <f>120961.8*120%+$D$48*(1+$B$70)</f>
        <v>171241.66</v>
      </c>
      <c r="E26" s="6">
        <v>30</v>
      </c>
      <c r="F26" s="6"/>
      <c r="G26" s="6">
        <v>40</v>
      </c>
      <c r="I26" s="10"/>
    </row>
    <row r="27" spans="1:9" x14ac:dyDescent="0.45">
      <c r="A27" s="14" t="s">
        <v>67</v>
      </c>
      <c r="B27" s="14" t="s">
        <v>39</v>
      </c>
      <c r="C27" s="14" t="s">
        <v>41</v>
      </c>
      <c r="D27" s="6">
        <f>166037.8*120%+$D$48*(1+$B$70)</f>
        <v>225332.86</v>
      </c>
      <c r="E27" s="6">
        <v>45</v>
      </c>
      <c r="F27" s="6"/>
      <c r="G27" s="6">
        <v>40</v>
      </c>
      <c r="I27" s="10"/>
    </row>
    <row r="28" spans="1:9" x14ac:dyDescent="0.45">
      <c r="A28" s="14" t="s">
        <v>67</v>
      </c>
      <c r="B28" s="14" t="s">
        <v>39</v>
      </c>
      <c r="C28" s="14" t="s">
        <v>42</v>
      </c>
      <c r="D28" s="6">
        <f>222689.6*120%+$D$48*(1+$B$70)</f>
        <v>293315.02</v>
      </c>
      <c r="E28" s="6">
        <v>45</v>
      </c>
      <c r="F28" s="6"/>
      <c r="G28" s="6">
        <v>40</v>
      </c>
      <c r="I28" s="10"/>
    </row>
    <row r="29" spans="1:9" x14ac:dyDescent="0.45">
      <c r="A29" s="14" t="s">
        <v>67</v>
      </c>
      <c r="B29" s="14" t="s">
        <v>43</v>
      </c>
      <c r="C29" s="14" t="s">
        <v>44</v>
      </c>
      <c r="D29" s="6">
        <f>136363.636363636*120%+$D$48*(1+$B$70)</f>
        <v>189723.86363636321</v>
      </c>
      <c r="E29" s="6">
        <v>20</v>
      </c>
      <c r="F29" s="6"/>
      <c r="G29" s="6">
        <v>40</v>
      </c>
      <c r="I29" s="10"/>
    </row>
    <row r="30" spans="1:9" x14ac:dyDescent="0.45">
      <c r="A30" s="14" t="s">
        <v>67</v>
      </c>
      <c r="B30" s="14" t="s">
        <v>43</v>
      </c>
      <c r="C30" s="14" t="s">
        <v>45</v>
      </c>
      <c r="D30" s="6">
        <f>227272.727272727*120%+$D$48*(1+$B$70)</f>
        <v>298814.77272727242</v>
      </c>
      <c r="E30" s="6">
        <v>40</v>
      </c>
      <c r="F30" s="6"/>
      <c r="G30" s="6">
        <v>40</v>
      </c>
      <c r="I30" s="10"/>
    </row>
    <row r="31" spans="1:9" x14ac:dyDescent="0.45">
      <c r="A31" s="14" t="s">
        <v>67</v>
      </c>
      <c r="B31" s="14" t="s">
        <v>43</v>
      </c>
      <c r="C31" s="14" t="s">
        <v>46</v>
      </c>
      <c r="D31" s="6">
        <f>272727.272727273*120%+$D$48*(1+$B$70)</f>
        <v>353360.22727272758</v>
      </c>
      <c r="E31" s="6">
        <v>60</v>
      </c>
      <c r="F31" s="6"/>
      <c r="G31" s="6">
        <v>40</v>
      </c>
      <c r="I31" s="10"/>
    </row>
    <row r="32" spans="1:9" x14ac:dyDescent="0.45">
      <c r="A32" s="14" t="s">
        <v>67</v>
      </c>
      <c r="B32" s="14" t="s">
        <v>43</v>
      </c>
      <c r="C32" s="14" t="s">
        <v>47</v>
      </c>
      <c r="D32" s="6">
        <f>318181.818181818*120%+$D$48*(1+$B$70)</f>
        <v>407905.68181818159</v>
      </c>
      <c r="E32" s="6">
        <v>60</v>
      </c>
      <c r="F32" s="6"/>
      <c r="G32" s="6">
        <v>40</v>
      </c>
      <c r="I32" s="10"/>
    </row>
    <row r="33" spans="1:9" x14ac:dyDescent="0.45">
      <c r="A33" s="14" t="s">
        <v>67</v>
      </c>
      <c r="B33" s="14" t="s">
        <v>43</v>
      </c>
      <c r="C33" s="14" t="s">
        <v>48</v>
      </c>
      <c r="D33" s="6">
        <f>363636.363636364*120%+$D$48*(1+$B$70)</f>
        <v>462451.13636363676</v>
      </c>
      <c r="E33" s="6">
        <v>60</v>
      </c>
      <c r="F33" s="6"/>
      <c r="G33" s="6">
        <v>40</v>
      </c>
      <c r="I33" s="10"/>
    </row>
    <row r="34" spans="1:9" x14ac:dyDescent="0.45">
      <c r="A34" s="14" t="s">
        <v>67</v>
      </c>
      <c r="B34" s="14" t="s">
        <v>49</v>
      </c>
      <c r="C34" s="14" t="s">
        <v>50</v>
      </c>
      <c r="D34" s="6">
        <f>108700*120%+$D$48*(1+$B$70)</f>
        <v>156527.5</v>
      </c>
      <c r="E34" s="6">
        <v>19</v>
      </c>
      <c r="F34" s="6"/>
      <c r="G34" s="6">
        <v>40</v>
      </c>
      <c r="I34" s="10"/>
    </row>
    <row r="35" spans="1:9" x14ac:dyDescent="0.45">
      <c r="A35" s="14" t="s">
        <v>67</v>
      </c>
      <c r="B35" s="14" t="s">
        <v>49</v>
      </c>
      <c r="C35" s="14" t="s">
        <v>51</v>
      </c>
      <c r="D35" s="6">
        <f>130000*120%+$D$48*(1+$B$70)</f>
        <v>182087.5</v>
      </c>
      <c r="E35" s="6">
        <v>20</v>
      </c>
      <c r="F35" s="6"/>
      <c r="G35" s="6">
        <v>40</v>
      </c>
      <c r="I35" s="10"/>
    </row>
    <row r="36" spans="1:9" x14ac:dyDescent="0.45">
      <c r="A36" s="14" t="s">
        <v>67</v>
      </c>
      <c r="B36" s="14" t="s">
        <v>49</v>
      </c>
      <c r="C36" s="14" t="s">
        <v>52</v>
      </c>
      <c r="D36" s="6">
        <f>146900*120%+$D$48*(1+$B$70)</f>
        <v>202367.5</v>
      </c>
      <c r="E36" s="6">
        <v>22</v>
      </c>
      <c r="F36" s="6"/>
      <c r="G36" s="6">
        <v>40</v>
      </c>
      <c r="I36" s="10"/>
    </row>
    <row r="37" spans="1:9" x14ac:dyDescent="0.45">
      <c r="A37" s="14" t="s">
        <v>67</v>
      </c>
      <c r="B37" s="14" t="s">
        <v>49</v>
      </c>
      <c r="C37" s="14" t="s">
        <v>53</v>
      </c>
      <c r="D37" s="6">
        <f>151400*120%+$D$48*(1+$B$70)</f>
        <v>207767.5</v>
      </c>
      <c r="E37" s="6">
        <v>22</v>
      </c>
      <c r="F37" s="6"/>
      <c r="G37" s="6">
        <v>40</v>
      </c>
      <c r="I37" s="10"/>
    </row>
    <row r="38" spans="1:9" x14ac:dyDescent="0.45">
      <c r="A38" s="14" t="s">
        <v>67</v>
      </c>
      <c r="B38" s="14" t="s">
        <v>49</v>
      </c>
      <c r="C38" s="14" t="s">
        <v>54</v>
      </c>
      <c r="D38" s="6">
        <f>167700*120%+$D$48*(1+$B$70)</f>
        <v>227327.5</v>
      </c>
      <c r="E38" s="6">
        <v>28</v>
      </c>
      <c r="F38" s="6"/>
      <c r="G38" s="6">
        <v>40</v>
      </c>
      <c r="I38" s="10"/>
    </row>
    <row r="39" spans="1:9" x14ac:dyDescent="0.45">
      <c r="A39" s="14" t="s">
        <v>67</v>
      </c>
      <c r="B39" s="14" t="s">
        <v>49</v>
      </c>
      <c r="C39" s="14" t="s">
        <v>55</v>
      </c>
      <c r="D39" s="6">
        <f>178600*120%+$D$48*(1+$B$70)</f>
        <v>240407.5</v>
      </c>
      <c r="E39" s="6">
        <v>28</v>
      </c>
      <c r="F39" s="6"/>
      <c r="G39" s="6">
        <v>40</v>
      </c>
      <c r="I39" s="10"/>
    </row>
    <row r="40" spans="1:9" x14ac:dyDescent="0.45">
      <c r="A40" s="14" t="s">
        <v>67</v>
      </c>
      <c r="B40" s="14" t="s">
        <v>49</v>
      </c>
      <c r="C40" s="14" t="s">
        <v>56</v>
      </c>
      <c r="D40" s="6">
        <f>210500*120%+$D$48*(1+$B$70)</f>
        <v>278687.5</v>
      </c>
      <c r="E40" s="6">
        <v>40</v>
      </c>
      <c r="F40" s="6"/>
      <c r="G40" s="6">
        <v>40</v>
      </c>
      <c r="I40" s="10"/>
    </row>
    <row r="41" spans="1:9" x14ac:dyDescent="0.45">
      <c r="A41" s="14" t="s">
        <v>67</v>
      </c>
      <c r="B41" s="14" t="s">
        <v>49</v>
      </c>
      <c r="C41" s="14" t="s">
        <v>57</v>
      </c>
      <c r="D41" s="6">
        <f>223300*120%+$D$48*(1+$B$70)</f>
        <v>294047.5</v>
      </c>
      <c r="E41" s="6">
        <v>40</v>
      </c>
      <c r="F41" s="6"/>
      <c r="G41" s="6">
        <v>40</v>
      </c>
      <c r="I41" s="10"/>
    </row>
    <row r="42" spans="1:9" x14ac:dyDescent="0.45">
      <c r="A42" s="14" t="s">
        <v>67</v>
      </c>
      <c r="B42" s="14" t="s">
        <v>58</v>
      </c>
      <c r="C42" s="14" t="s">
        <v>59</v>
      </c>
      <c r="D42" s="6">
        <f>150000*120%+$D$48*(1+$B$70)</f>
        <v>206087.5</v>
      </c>
      <c r="E42" s="6">
        <v>20</v>
      </c>
      <c r="F42" s="6"/>
      <c r="G42" s="6">
        <v>40</v>
      </c>
      <c r="I42" s="10"/>
    </row>
    <row r="43" spans="1:9" x14ac:dyDescent="0.45">
      <c r="A43" s="14" t="s">
        <v>67</v>
      </c>
      <c r="B43" s="14" t="s">
        <v>58</v>
      </c>
      <c r="C43" s="14" t="s">
        <v>60</v>
      </c>
      <c r="D43" s="6">
        <f>200000*120%+$D$48*(1+$B$70)</f>
        <v>266087.5</v>
      </c>
      <c r="E43" s="6">
        <v>40</v>
      </c>
      <c r="F43" s="6"/>
      <c r="G43" s="6">
        <v>40</v>
      </c>
      <c r="I43" s="10"/>
    </row>
    <row r="44" spans="1:9" x14ac:dyDescent="0.45">
      <c r="A44" s="14" t="s">
        <v>67</v>
      </c>
      <c r="B44" s="14" t="s">
        <v>58</v>
      </c>
      <c r="C44" s="14" t="s">
        <v>61</v>
      </c>
      <c r="D44" s="6">
        <f>250000*120%+$D$48*(1+$B$70)</f>
        <v>326087.5</v>
      </c>
      <c r="E44" s="6">
        <v>40</v>
      </c>
      <c r="F44" s="6"/>
      <c r="G44" s="6">
        <v>40</v>
      </c>
      <c r="I44" s="10"/>
    </row>
    <row r="45" spans="1:9" x14ac:dyDescent="0.45">
      <c r="A45" s="14" t="s">
        <v>67</v>
      </c>
      <c r="B45" s="14" t="s">
        <v>58</v>
      </c>
      <c r="C45" s="14" t="s">
        <v>62</v>
      </c>
      <c r="D45" s="6">
        <f>300000*120%+$D$48*(1+$B$70)</f>
        <v>386087.5</v>
      </c>
      <c r="E45" s="6">
        <v>60</v>
      </c>
      <c r="F45" s="6"/>
      <c r="G45" s="6">
        <v>40</v>
      </c>
      <c r="I45" s="10"/>
    </row>
    <row r="46" spans="1:9" x14ac:dyDescent="0.45">
      <c r="A46" s="14" t="s">
        <v>67</v>
      </c>
      <c r="B46" s="14" t="s">
        <v>58</v>
      </c>
      <c r="C46" s="14" t="s">
        <v>63</v>
      </c>
      <c r="D46" s="6">
        <f>350000*120%+$D$48*(1+$B$70)</f>
        <v>446087.5</v>
      </c>
      <c r="E46" s="6">
        <v>60</v>
      </c>
      <c r="F46" s="6"/>
      <c r="G46" s="6">
        <v>40</v>
      </c>
      <c r="I46" s="10"/>
    </row>
    <row r="47" spans="1:9" x14ac:dyDescent="0.45">
      <c r="A47" s="14" t="s">
        <v>67</v>
      </c>
      <c r="B47" s="14" t="s">
        <v>58</v>
      </c>
      <c r="C47" s="14" t="s">
        <v>64</v>
      </c>
      <c r="D47" s="6">
        <f>400000*120%+$D$48*(1+$B$70)</f>
        <v>506087.5</v>
      </c>
      <c r="E47" s="6">
        <v>60</v>
      </c>
      <c r="F47" s="6"/>
      <c r="G47" s="6">
        <v>40</v>
      </c>
      <c r="I47" s="10"/>
    </row>
    <row r="48" spans="1:9" x14ac:dyDescent="0.45">
      <c r="A48" s="14" t="s">
        <v>67</v>
      </c>
      <c r="B48" s="14" t="s">
        <v>65</v>
      </c>
      <c r="C48" s="14" t="s">
        <v>66</v>
      </c>
      <c r="D48" s="6">
        <v>25000</v>
      </c>
      <c r="E48" s="6"/>
      <c r="F48" s="6"/>
      <c r="G48" s="6">
        <v>40</v>
      </c>
      <c r="I48" s="10"/>
    </row>
    <row r="49" spans="1:7" x14ac:dyDescent="0.45">
      <c r="A49" s="14" t="s">
        <v>67</v>
      </c>
      <c r="B49" s="14" t="s">
        <v>72</v>
      </c>
      <c r="C49" s="14" t="s">
        <v>76</v>
      </c>
      <c r="D49" s="6">
        <f>(266300+25000)*(100%+$B$70)</f>
        <v>303971.55000000005</v>
      </c>
      <c r="E49" s="6">
        <v>35</v>
      </c>
      <c r="F49" s="6"/>
      <c r="G49" s="6">
        <v>40</v>
      </c>
    </row>
    <row r="50" spans="1:7" x14ac:dyDescent="0.45">
      <c r="A50" s="14" t="s">
        <v>67</v>
      </c>
      <c r="B50" s="14" t="s">
        <v>72</v>
      </c>
      <c r="C50" s="14" t="s">
        <v>77</v>
      </c>
      <c r="D50" s="6">
        <f>(353500+25000)*(100%+$B$70)</f>
        <v>394964.75000000006</v>
      </c>
      <c r="E50" s="6">
        <v>80</v>
      </c>
      <c r="F50" s="6"/>
      <c r="G50" s="6">
        <v>40</v>
      </c>
    </row>
    <row r="51" spans="1:7" x14ac:dyDescent="0.45">
      <c r="A51" s="14" t="s">
        <v>67</v>
      </c>
      <c r="B51" s="14" t="s">
        <v>72</v>
      </c>
      <c r="C51" s="14" t="s">
        <v>78</v>
      </c>
      <c r="D51" s="6">
        <f>(396000+25000)*(100%+$B$70)</f>
        <v>439313.50000000006</v>
      </c>
      <c r="E51" s="6">
        <v>85</v>
      </c>
      <c r="F51" s="6"/>
      <c r="G51" s="6">
        <v>40</v>
      </c>
    </row>
    <row r="52" spans="1:7" x14ac:dyDescent="0.45">
      <c r="A52" s="14" t="s">
        <v>67</v>
      </c>
      <c r="B52" s="14" t="s">
        <v>72</v>
      </c>
      <c r="C52" s="14" t="s">
        <v>79</v>
      </c>
      <c r="D52" s="6">
        <f>(460000+25000)*(100%+$B$70)</f>
        <v>506097.50000000006</v>
      </c>
      <c r="E52" s="6">
        <v>95</v>
      </c>
      <c r="F52" s="6"/>
      <c r="G52" s="6">
        <v>40</v>
      </c>
    </row>
    <row r="53" spans="1:7" x14ac:dyDescent="0.45">
      <c r="A53" s="14" t="s">
        <v>75</v>
      </c>
      <c r="B53" s="14" t="s">
        <v>68</v>
      </c>
      <c r="C53" s="14" t="s">
        <v>69</v>
      </c>
      <c r="D53" s="6">
        <f>(495000+25000)*(100%+$B$70)</f>
        <v>542620</v>
      </c>
      <c r="E53" s="6">
        <v>65</v>
      </c>
      <c r="F53" s="6"/>
      <c r="G53" s="6">
        <v>40</v>
      </c>
    </row>
    <row r="54" spans="1:7" x14ac:dyDescent="0.45">
      <c r="A54" s="14" t="s">
        <v>75</v>
      </c>
      <c r="B54" s="14" t="s">
        <v>68</v>
      </c>
      <c r="C54" s="14" t="s">
        <v>70</v>
      </c>
      <c r="D54" s="6">
        <f>(575000+25000)*(100%+$B$70)</f>
        <v>626100</v>
      </c>
      <c r="E54" s="6">
        <v>125</v>
      </c>
      <c r="F54" s="6"/>
      <c r="G54" s="6">
        <v>40</v>
      </c>
    </row>
    <row r="55" spans="1:7" x14ac:dyDescent="0.45">
      <c r="A55" s="14" t="s">
        <v>71</v>
      </c>
      <c r="B55" s="14"/>
      <c r="C55" s="14" t="s">
        <v>71</v>
      </c>
      <c r="D55" s="6">
        <f>50000</f>
        <v>50000</v>
      </c>
      <c r="E55" s="6"/>
      <c r="F55" s="6"/>
      <c r="G55" s="6"/>
    </row>
    <row r="56" spans="1:7" x14ac:dyDescent="0.45">
      <c r="A56" s="14"/>
      <c r="B56" s="14"/>
      <c r="C56" s="14"/>
      <c r="D56" s="6"/>
      <c r="E56" s="6"/>
      <c r="F56" s="6"/>
      <c r="G56" s="6"/>
    </row>
    <row r="57" spans="1:7" x14ac:dyDescent="0.45">
      <c r="A57" s="14"/>
      <c r="B57" s="14"/>
      <c r="C57" s="14"/>
      <c r="D57" s="14"/>
      <c r="E57" s="14"/>
      <c r="F57" s="14"/>
      <c r="G57" s="14"/>
    </row>
    <row r="59" spans="1:7" x14ac:dyDescent="0.45">
      <c r="A59" s="11" t="s">
        <v>21</v>
      </c>
      <c r="B59" s="12"/>
      <c r="C59" s="12" t="s">
        <v>22</v>
      </c>
    </row>
    <row r="60" spans="1:7" x14ac:dyDescent="0.45">
      <c r="A60" s="12"/>
      <c r="B60" s="12"/>
      <c r="C60" s="12"/>
    </row>
    <row r="61" spans="1:7" x14ac:dyDescent="0.45">
      <c r="A61" s="14" t="s">
        <v>23</v>
      </c>
      <c r="B61" s="15">
        <v>0</v>
      </c>
      <c r="C61" s="12"/>
    </row>
    <row r="62" spans="1:7" x14ac:dyDescent="0.45">
      <c r="A62" s="14" t="s">
        <v>24</v>
      </c>
      <c r="B62" s="15">
        <v>5.0000000000000001E-3</v>
      </c>
      <c r="C62" s="12"/>
    </row>
    <row r="63" spans="1:7" x14ac:dyDescent="0.45">
      <c r="A63" s="14" t="s">
        <v>25</v>
      </c>
      <c r="B63" s="15">
        <v>6.9999999999999999E-4</v>
      </c>
      <c r="C63" s="12"/>
    </row>
    <row r="64" spans="1:7" x14ac:dyDescent="0.45">
      <c r="A64" s="14" t="s">
        <v>26</v>
      </c>
      <c r="B64" s="15">
        <v>2.0000000000000001E-4</v>
      </c>
      <c r="C64" s="12"/>
    </row>
    <row r="65" spans="1:3" x14ac:dyDescent="0.45">
      <c r="A65" s="14" t="s">
        <v>27</v>
      </c>
      <c r="B65" s="15">
        <v>8.0000000000000004E-4</v>
      </c>
      <c r="C65" s="12"/>
    </row>
    <row r="66" spans="1:3" x14ac:dyDescent="0.45">
      <c r="A66" s="14" t="s">
        <v>28</v>
      </c>
      <c r="B66" s="15">
        <v>1.1000000000000001E-3</v>
      </c>
      <c r="C66" s="12"/>
    </row>
    <row r="67" spans="1:3" x14ac:dyDescent="0.45">
      <c r="A67" s="14" t="s">
        <v>29</v>
      </c>
      <c r="B67" s="15">
        <v>6.9999999999999999E-4</v>
      </c>
      <c r="C67" s="12"/>
    </row>
    <row r="68" spans="1:3" x14ac:dyDescent="0.45">
      <c r="A68" s="14" t="s">
        <v>30</v>
      </c>
      <c r="B68" s="15">
        <v>0.01</v>
      </c>
      <c r="C68" s="12"/>
    </row>
    <row r="69" spans="1:3" x14ac:dyDescent="0.45">
      <c r="A69" s="14" t="s">
        <v>31</v>
      </c>
      <c r="B69" s="15">
        <v>2.5000000000000001E-2</v>
      </c>
      <c r="C69" s="12"/>
    </row>
    <row r="70" spans="1:3" x14ac:dyDescent="0.45">
      <c r="A70" s="16" t="s">
        <v>32</v>
      </c>
      <c r="B70" s="17">
        <f>SUM(B61:B69)</f>
        <v>4.3500000000000004E-2</v>
      </c>
      <c r="C7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BFAE-CBAB-4DDA-BE4C-9CD84488DD40}">
  <dimension ref="A3:I76"/>
  <sheetViews>
    <sheetView topLeftCell="A51" workbookViewId="0">
      <selection activeCell="A71" sqref="A71"/>
    </sheetView>
  </sheetViews>
  <sheetFormatPr defaultRowHeight="14.25" x14ac:dyDescent="0.45"/>
  <cols>
    <col min="2" max="3" width="21.19921875" customWidth="1"/>
    <col min="4" max="4" width="11.06640625" bestFit="1" customWidth="1"/>
    <col min="5" max="9" width="9.1328125" bestFit="1" customWidth="1"/>
  </cols>
  <sheetData>
    <row r="3" spans="1:9" x14ac:dyDescent="0.45">
      <c r="A3" s="11" t="s">
        <v>1</v>
      </c>
      <c r="B3" s="12"/>
      <c r="C3" s="12"/>
      <c r="D3" s="12"/>
      <c r="E3" s="12"/>
      <c r="F3" s="12"/>
      <c r="G3" s="12"/>
      <c r="H3" s="12"/>
      <c r="I3" s="11"/>
    </row>
    <row r="4" spans="1:9" x14ac:dyDescent="0.45">
      <c r="A4" s="35" t="s">
        <v>2</v>
      </c>
      <c r="B4" s="35" t="s">
        <v>3</v>
      </c>
      <c r="C4" s="35" t="s">
        <v>4</v>
      </c>
      <c r="D4" s="35" t="s">
        <v>80</v>
      </c>
      <c r="E4" s="35" t="s">
        <v>81</v>
      </c>
      <c r="F4" s="35" t="s">
        <v>82</v>
      </c>
      <c r="G4" s="35" t="s">
        <v>5</v>
      </c>
      <c r="H4" s="35" t="s">
        <v>7</v>
      </c>
      <c r="I4" s="35" t="s">
        <v>83</v>
      </c>
    </row>
    <row r="5" spans="1:9" x14ac:dyDescent="0.45">
      <c r="A5" s="36" t="s">
        <v>84</v>
      </c>
      <c r="B5" s="36" t="s">
        <v>144</v>
      </c>
      <c r="C5" s="36" t="s">
        <v>85</v>
      </c>
      <c r="D5" s="37">
        <v>3000000</v>
      </c>
      <c r="E5" s="37">
        <v>250</v>
      </c>
      <c r="F5" s="37">
        <v>0.82</v>
      </c>
      <c r="G5" s="37">
        <v>180</v>
      </c>
      <c r="H5" s="37">
        <v>210</v>
      </c>
      <c r="I5" s="37">
        <f>E5*5%</f>
        <v>12.5</v>
      </c>
    </row>
    <row r="6" spans="1:9" x14ac:dyDescent="0.45">
      <c r="A6" s="36" t="s">
        <v>84</v>
      </c>
      <c r="B6" s="36" t="s">
        <v>144</v>
      </c>
      <c r="C6" s="36" t="s">
        <v>86</v>
      </c>
      <c r="D6" s="37">
        <v>3000000</v>
      </c>
      <c r="E6" s="37">
        <v>400</v>
      </c>
      <c r="F6" s="37">
        <v>0.81</v>
      </c>
      <c r="G6" s="37">
        <v>180</v>
      </c>
      <c r="H6" s="37">
        <v>240</v>
      </c>
      <c r="I6" s="37">
        <f t="shared" ref="I6:I57" si="0">E6*5%</f>
        <v>20</v>
      </c>
    </row>
    <row r="7" spans="1:9" x14ac:dyDescent="0.45">
      <c r="A7" s="36" t="s">
        <v>84</v>
      </c>
      <c r="B7" s="36" t="s">
        <v>144</v>
      </c>
      <c r="C7" s="36" t="s">
        <v>87</v>
      </c>
      <c r="D7" s="37">
        <v>2500000</v>
      </c>
      <c r="E7" s="37">
        <v>450</v>
      </c>
      <c r="F7" s="37">
        <v>1.02</v>
      </c>
      <c r="G7" s="37">
        <v>180</v>
      </c>
      <c r="H7" s="37">
        <v>154</v>
      </c>
      <c r="I7" s="37">
        <f t="shared" si="0"/>
        <v>22.5</v>
      </c>
    </row>
    <row r="8" spans="1:9" x14ac:dyDescent="0.45">
      <c r="A8" s="36" t="s">
        <v>84</v>
      </c>
      <c r="B8" s="36" t="s">
        <v>144</v>
      </c>
      <c r="C8" s="36" t="s">
        <v>88</v>
      </c>
      <c r="D8" s="37">
        <v>2500000</v>
      </c>
      <c r="E8" s="37">
        <v>450</v>
      </c>
      <c r="F8" s="37">
        <v>0.92</v>
      </c>
      <c r="G8" s="37">
        <v>180</v>
      </c>
      <c r="H8" s="37">
        <v>120</v>
      </c>
      <c r="I8" s="37">
        <f t="shared" si="0"/>
        <v>22.5</v>
      </c>
    </row>
    <row r="9" spans="1:9" x14ac:dyDescent="0.45">
      <c r="A9" s="36" t="s">
        <v>84</v>
      </c>
      <c r="B9" s="36" t="s">
        <v>144</v>
      </c>
      <c r="C9" s="36" t="s">
        <v>89</v>
      </c>
      <c r="D9" s="37">
        <v>1800000</v>
      </c>
      <c r="E9" s="37">
        <v>300</v>
      </c>
      <c r="F9" s="37">
        <v>0.8</v>
      </c>
      <c r="G9" s="37">
        <v>180</v>
      </c>
      <c r="H9" s="37">
        <v>110</v>
      </c>
      <c r="I9" s="37">
        <f t="shared" si="0"/>
        <v>15</v>
      </c>
    </row>
    <row r="10" spans="1:9" x14ac:dyDescent="0.45">
      <c r="A10" s="36" t="s">
        <v>84</v>
      </c>
      <c r="B10" s="36" t="s">
        <v>144</v>
      </c>
      <c r="C10" s="36" t="s">
        <v>90</v>
      </c>
      <c r="D10" s="37">
        <v>1800000</v>
      </c>
      <c r="E10" s="37">
        <v>450</v>
      </c>
      <c r="F10" s="37">
        <v>2.4</v>
      </c>
      <c r="G10" s="37">
        <v>180</v>
      </c>
      <c r="H10" s="37">
        <v>180</v>
      </c>
      <c r="I10" s="37">
        <f t="shared" si="0"/>
        <v>22.5</v>
      </c>
    </row>
    <row r="11" spans="1:9" x14ac:dyDescent="0.45">
      <c r="A11" s="36" t="s">
        <v>84</v>
      </c>
      <c r="B11" s="36" t="s">
        <v>144</v>
      </c>
      <c r="C11" s="36" t="s">
        <v>91</v>
      </c>
      <c r="D11" s="37">
        <v>1800000</v>
      </c>
      <c r="E11" s="37">
        <v>450</v>
      </c>
      <c r="F11" s="37">
        <v>2.4</v>
      </c>
      <c r="G11" s="37">
        <v>180</v>
      </c>
      <c r="H11" s="37">
        <v>208</v>
      </c>
      <c r="I11" s="37">
        <f t="shared" si="0"/>
        <v>22.5</v>
      </c>
    </row>
    <row r="12" spans="1:9" x14ac:dyDescent="0.45">
      <c r="A12" s="36" t="s">
        <v>84</v>
      </c>
      <c r="B12" s="36" t="s">
        <v>145</v>
      </c>
      <c r="C12" s="36" t="s">
        <v>92</v>
      </c>
      <c r="D12" s="37">
        <v>1500000</v>
      </c>
      <c r="E12" s="37">
        <v>450</v>
      </c>
      <c r="F12" s="37">
        <v>1.45</v>
      </c>
      <c r="G12" s="37">
        <v>180</v>
      </c>
      <c r="H12" s="37">
        <v>56</v>
      </c>
      <c r="I12" s="37">
        <f t="shared" si="0"/>
        <v>22.5</v>
      </c>
    </row>
    <row r="13" spans="1:9" x14ac:dyDescent="0.45">
      <c r="A13" s="36" t="s">
        <v>84</v>
      </c>
      <c r="B13" s="36" t="s">
        <v>145</v>
      </c>
      <c r="C13" s="36" t="s">
        <v>93</v>
      </c>
      <c r="D13" s="37">
        <v>1500000</v>
      </c>
      <c r="E13" s="37">
        <v>550</v>
      </c>
      <c r="F13" s="37">
        <v>1.45</v>
      </c>
      <c r="G13" s="37">
        <v>180</v>
      </c>
      <c r="H13" s="37">
        <v>56</v>
      </c>
      <c r="I13" s="37">
        <f t="shared" si="0"/>
        <v>27.5</v>
      </c>
    </row>
    <row r="14" spans="1:9" x14ac:dyDescent="0.45">
      <c r="A14" s="36" t="s">
        <v>84</v>
      </c>
      <c r="B14" s="36" t="s">
        <v>146</v>
      </c>
      <c r="C14" s="36" t="s">
        <v>94</v>
      </c>
      <c r="D14" s="37">
        <v>1800000</v>
      </c>
      <c r="E14" s="37">
        <v>380</v>
      </c>
      <c r="F14" s="37">
        <v>1.3</v>
      </c>
      <c r="G14" s="37">
        <v>180</v>
      </c>
      <c r="H14" s="37">
        <v>81</v>
      </c>
      <c r="I14" s="37">
        <f t="shared" si="0"/>
        <v>19</v>
      </c>
    </row>
    <row r="15" spans="1:9" x14ac:dyDescent="0.45">
      <c r="A15" s="36" t="s">
        <v>84</v>
      </c>
      <c r="B15" s="36" t="s">
        <v>147</v>
      </c>
      <c r="C15" s="36" t="s">
        <v>95</v>
      </c>
      <c r="D15" s="37">
        <v>1800000</v>
      </c>
      <c r="E15" s="37">
        <v>320</v>
      </c>
      <c r="F15" s="37">
        <v>1.3</v>
      </c>
      <c r="G15" s="37">
        <v>180</v>
      </c>
      <c r="H15" s="37">
        <v>90</v>
      </c>
      <c r="I15" s="37">
        <f t="shared" si="0"/>
        <v>16</v>
      </c>
    </row>
    <row r="16" spans="1:9" x14ac:dyDescent="0.45">
      <c r="A16" s="36" t="s">
        <v>84</v>
      </c>
      <c r="B16" s="36" t="s">
        <v>147</v>
      </c>
      <c r="C16" s="36" t="s">
        <v>96</v>
      </c>
      <c r="D16" s="37">
        <v>1450000</v>
      </c>
      <c r="E16" s="37">
        <v>280</v>
      </c>
      <c r="F16" s="37">
        <v>1.25</v>
      </c>
      <c r="G16" s="37">
        <v>180</v>
      </c>
      <c r="H16" s="37">
        <v>90</v>
      </c>
      <c r="I16" s="37">
        <f t="shared" si="0"/>
        <v>14</v>
      </c>
    </row>
    <row r="17" spans="1:9" x14ac:dyDescent="0.45">
      <c r="A17" s="36" t="s">
        <v>84</v>
      </c>
      <c r="B17" s="36" t="s">
        <v>147</v>
      </c>
      <c r="C17" s="36" t="s">
        <v>97</v>
      </c>
      <c r="D17" s="37">
        <v>1400000</v>
      </c>
      <c r="E17" s="37">
        <v>220</v>
      </c>
      <c r="F17" s="37">
        <v>1.25</v>
      </c>
      <c r="G17" s="37">
        <v>180</v>
      </c>
      <c r="H17" s="37">
        <v>90</v>
      </c>
      <c r="I17" s="37">
        <f t="shared" si="0"/>
        <v>11</v>
      </c>
    </row>
    <row r="18" spans="1:9" x14ac:dyDescent="0.45">
      <c r="A18" s="36" t="s">
        <v>84</v>
      </c>
      <c r="B18" s="36" t="s">
        <v>147</v>
      </c>
      <c r="C18" s="36" t="s">
        <v>98</v>
      </c>
      <c r="D18" s="37">
        <v>1600000</v>
      </c>
      <c r="E18" s="37">
        <v>300</v>
      </c>
      <c r="F18" s="37">
        <v>1.25</v>
      </c>
      <c r="G18" s="37">
        <v>180</v>
      </c>
      <c r="H18" s="37">
        <v>90</v>
      </c>
      <c r="I18" s="37">
        <f t="shared" si="0"/>
        <v>15</v>
      </c>
    </row>
    <row r="19" spans="1:9" x14ac:dyDescent="0.45">
      <c r="A19" s="36" t="s">
        <v>84</v>
      </c>
      <c r="B19" s="36" t="s">
        <v>148</v>
      </c>
      <c r="C19" s="36" t="s">
        <v>99</v>
      </c>
      <c r="D19" s="37">
        <v>1100000</v>
      </c>
      <c r="E19" s="37">
        <v>360</v>
      </c>
      <c r="F19" s="37">
        <v>1.3</v>
      </c>
      <c r="G19" s="37">
        <v>180</v>
      </c>
      <c r="H19" s="37">
        <v>64</v>
      </c>
      <c r="I19" s="37">
        <f t="shared" si="0"/>
        <v>18</v>
      </c>
    </row>
    <row r="20" spans="1:9" x14ac:dyDescent="0.45">
      <c r="A20" s="36" t="s">
        <v>84</v>
      </c>
      <c r="B20" s="36" t="s">
        <v>148</v>
      </c>
      <c r="C20" s="36" t="s">
        <v>100</v>
      </c>
      <c r="D20" s="37">
        <v>1100000</v>
      </c>
      <c r="E20" s="37">
        <v>340</v>
      </c>
      <c r="F20" s="37">
        <v>1.3</v>
      </c>
      <c r="G20" s="37">
        <v>180</v>
      </c>
      <c r="H20" s="37">
        <v>64</v>
      </c>
      <c r="I20" s="37">
        <f t="shared" si="0"/>
        <v>17</v>
      </c>
    </row>
    <row r="21" spans="1:9" x14ac:dyDescent="0.45">
      <c r="A21" s="36" t="s">
        <v>84</v>
      </c>
      <c r="B21" s="36" t="s">
        <v>149</v>
      </c>
      <c r="C21" s="36" t="s">
        <v>101</v>
      </c>
      <c r="D21" s="37">
        <v>950000</v>
      </c>
      <c r="E21" s="37">
        <v>380</v>
      </c>
      <c r="F21" s="37">
        <v>0.82</v>
      </c>
      <c r="G21" s="37">
        <v>180</v>
      </c>
      <c r="H21" s="37">
        <v>81</v>
      </c>
      <c r="I21" s="37">
        <f t="shared" si="0"/>
        <v>19</v>
      </c>
    </row>
    <row r="22" spans="1:9" x14ac:dyDescent="0.45">
      <c r="A22" s="36" t="s">
        <v>102</v>
      </c>
      <c r="B22" s="36" t="s">
        <v>150</v>
      </c>
      <c r="C22" s="36" t="s">
        <v>103</v>
      </c>
      <c r="D22" s="37">
        <v>1500000</v>
      </c>
      <c r="E22" s="37">
        <v>480</v>
      </c>
      <c r="F22" s="37">
        <v>1.45</v>
      </c>
      <c r="G22" s="37">
        <v>150</v>
      </c>
      <c r="H22" s="37">
        <v>81</v>
      </c>
      <c r="I22" s="37">
        <f t="shared" si="0"/>
        <v>24</v>
      </c>
    </row>
    <row r="23" spans="1:9" x14ac:dyDescent="0.45">
      <c r="A23" s="36" t="s">
        <v>102</v>
      </c>
      <c r="B23" s="36" t="s">
        <v>150</v>
      </c>
      <c r="C23" s="36" t="s">
        <v>104</v>
      </c>
      <c r="D23" s="37">
        <v>2000000</v>
      </c>
      <c r="E23" s="37">
        <v>600</v>
      </c>
      <c r="F23" s="37">
        <v>1.65</v>
      </c>
      <c r="G23" s="37">
        <v>150</v>
      </c>
      <c r="H23" s="37">
        <v>81</v>
      </c>
      <c r="I23" s="37">
        <f t="shared" si="0"/>
        <v>30</v>
      </c>
    </row>
    <row r="24" spans="1:9" x14ac:dyDescent="0.45">
      <c r="A24" s="36" t="s">
        <v>102</v>
      </c>
      <c r="B24" s="36" t="s">
        <v>151</v>
      </c>
      <c r="C24" s="36" t="s">
        <v>105</v>
      </c>
      <c r="D24" s="37">
        <v>2000000</v>
      </c>
      <c r="E24" s="37">
        <v>600</v>
      </c>
      <c r="F24" s="37">
        <v>1.65</v>
      </c>
      <c r="G24" s="37">
        <v>150</v>
      </c>
      <c r="H24" s="37">
        <v>81</v>
      </c>
      <c r="I24" s="37">
        <f t="shared" si="0"/>
        <v>30</v>
      </c>
    </row>
    <row r="25" spans="1:9" x14ac:dyDescent="0.45">
      <c r="A25" s="36" t="s">
        <v>102</v>
      </c>
      <c r="B25" s="36" t="s">
        <v>151</v>
      </c>
      <c r="C25" s="36" t="s">
        <v>106</v>
      </c>
      <c r="D25" s="37">
        <v>1250000</v>
      </c>
      <c r="E25" s="37">
        <v>600</v>
      </c>
      <c r="F25" s="37">
        <v>2.2000000000000002</v>
      </c>
      <c r="G25" s="37">
        <v>150</v>
      </c>
      <c r="H25" s="37">
        <v>81</v>
      </c>
      <c r="I25" s="37">
        <f t="shared" si="0"/>
        <v>30</v>
      </c>
    </row>
    <row r="26" spans="1:9" x14ac:dyDescent="0.45">
      <c r="A26" s="36" t="s">
        <v>102</v>
      </c>
      <c r="B26" s="36" t="s">
        <v>107</v>
      </c>
      <c r="C26" s="36" t="s">
        <v>107</v>
      </c>
      <c r="D26" s="37">
        <v>1100000</v>
      </c>
      <c r="E26" s="37">
        <v>500</v>
      </c>
      <c r="F26" s="37">
        <v>0.82</v>
      </c>
      <c r="G26" s="37">
        <v>150</v>
      </c>
      <c r="H26" s="37">
        <v>64</v>
      </c>
      <c r="I26" s="37">
        <f t="shared" si="0"/>
        <v>25</v>
      </c>
    </row>
    <row r="27" spans="1:9" x14ac:dyDescent="0.45">
      <c r="A27" s="36" t="s">
        <v>102</v>
      </c>
      <c r="B27" s="36" t="s">
        <v>108</v>
      </c>
      <c r="C27" s="36" t="s">
        <v>108</v>
      </c>
      <c r="D27" s="37">
        <v>2000000</v>
      </c>
      <c r="E27" s="37">
        <v>360</v>
      </c>
      <c r="F27" s="37">
        <v>1.52</v>
      </c>
      <c r="G27" s="37">
        <v>150</v>
      </c>
      <c r="H27" s="37">
        <v>154</v>
      </c>
      <c r="I27" s="37">
        <f t="shared" si="0"/>
        <v>18</v>
      </c>
    </row>
    <row r="28" spans="1:9" x14ac:dyDescent="0.45">
      <c r="A28" s="36" t="s">
        <v>102</v>
      </c>
      <c r="B28" s="36" t="s">
        <v>109</v>
      </c>
      <c r="C28" s="36" t="s">
        <v>109</v>
      </c>
      <c r="D28" s="37">
        <v>2500000</v>
      </c>
      <c r="E28" s="37">
        <v>450</v>
      </c>
      <c r="F28" s="37">
        <v>1.7</v>
      </c>
      <c r="G28" s="37">
        <v>150</v>
      </c>
      <c r="H28" s="37">
        <v>154</v>
      </c>
      <c r="I28" s="37">
        <f t="shared" si="0"/>
        <v>22.5</v>
      </c>
    </row>
    <row r="29" spans="1:9" x14ac:dyDescent="0.45">
      <c r="A29" s="36" t="s">
        <v>102</v>
      </c>
      <c r="B29" s="36" t="s">
        <v>110</v>
      </c>
      <c r="C29" s="36" t="s">
        <v>110</v>
      </c>
      <c r="D29" s="37">
        <v>3500000</v>
      </c>
      <c r="E29" s="37">
        <v>600</v>
      </c>
      <c r="F29" s="37">
        <v>2.2000000000000002</v>
      </c>
      <c r="G29" s="37">
        <v>150</v>
      </c>
      <c r="H29" s="37">
        <v>154</v>
      </c>
      <c r="I29" s="37">
        <f t="shared" si="0"/>
        <v>30</v>
      </c>
    </row>
    <row r="30" spans="1:9" x14ac:dyDescent="0.45">
      <c r="A30" s="36" t="s">
        <v>111</v>
      </c>
      <c r="B30" s="36" t="s">
        <v>112</v>
      </c>
      <c r="C30" s="36" t="s">
        <v>112</v>
      </c>
      <c r="D30" s="37">
        <v>2000000</v>
      </c>
      <c r="E30" s="37">
        <v>280</v>
      </c>
      <c r="F30" s="37">
        <v>1.45</v>
      </c>
      <c r="G30" s="37">
        <v>160</v>
      </c>
      <c r="H30" s="37">
        <v>15</v>
      </c>
      <c r="I30" s="37">
        <f t="shared" si="0"/>
        <v>14</v>
      </c>
    </row>
    <row r="31" spans="1:9" x14ac:dyDescent="0.45">
      <c r="A31" s="36" t="s">
        <v>113</v>
      </c>
      <c r="B31" s="36" t="s">
        <v>152</v>
      </c>
      <c r="C31" s="36" t="s">
        <v>114</v>
      </c>
      <c r="D31" s="37">
        <v>350000</v>
      </c>
      <c r="E31" s="37">
        <v>350</v>
      </c>
      <c r="F31" s="37">
        <v>1.53</v>
      </c>
      <c r="G31" s="37">
        <v>100</v>
      </c>
      <c r="H31" s="37">
        <v>90</v>
      </c>
      <c r="I31" s="37">
        <f t="shared" si="0"/>
        <v>17.5</v>
      </c>
    </row>
    <row r="32" spans="1:9" x14ac:dyDescent="0.45">
      <c r="A32" s="36" t="s">
        <v>113</v>
      </c>
      <c r="B32" s="36" t="s">
        <v>152</v>
      </c>
      <c r="C32" s="36" t="s">
        <v>115</v>
      </c>
      <c r="D32" s="37">
        <v>350000</v>
      </c>
      <c r="E32" s="37">
        <v>320</v>
      </c>
      <c r="F32" s="37">
        <v>0.83</v>
      </c>
      <c r="G32" s="37">
        <v>100</v>
      </c>
      <c r="H32" s="37">
        <v>90</v>
      </c>
      <c r="I32" s="37">
        <f t="shared" si="0"/>
        <v>16</v>
      </c>
    </row>
    <row r="33" spans="1:9" x14ac:dyDescent="0.45">
      <c r="A33" s="36" t="s">
        <v>113</v>
      </c>
      <c r="B33" s="36" t="s">
        <v>152</v>
      </c>
      <c r="C33" s="36" t="s">
        <v>116</v>
      </c>
      <c r="D33" s="37">
        <v>350000</v>
      </c>
      <c r="E33" s="37">
        <v>380</v>
      </c>
      <c r="F33" s="37">
        <v>1.53</v>
      </c>
      <c r="G33" s="37">
        <v>100</v>
      </c>
      <c r="H33" s="37">
        <v>90</v>
      </c>
      <c r="I33" s="37">
        <f t="shared" si="0"/>
        <v>19</v>
      </c>
    </row>
    <row r="34" spans="1:9" x14ac:dyDescent="0.45">
      <c r="A34" s="36" t="s">
        <v>113</v>
      </c>
      <c r="B34" s="36" t="s">
        <v>153</v>
      </c>
      <c r="C34" s="36" t="s">
        <v>117</v>
      </c>
      <c r="D34" s="37">
        <v>350000</v>
      </c>
      <c r="E34" s="37">
        <v>450</v>
      </c>
      <c r="F34" s="37">
        <v>1.35</v>
      </c>
      <c r="G34" s="37">
        <v>100</v>
      </c>
      <c r="H34" s="37">
        <v>90</v>
      </c>
      <c r="I34" s="37">
        <f t="shared" si="0"/>
        <v>22.5</v>
      </c>
    </row>
    <row r="35" spans="1:9" x14ac:dyDescent="0.45">
      <c r="A35" s="36" t="s">
        <v>113</v>
      </c>
      <c r="B35" s="36" t="s">
        <v>153</v>
      </c>
      <c r="C35" s="36" t="s">
        <v>118</v>
      </c>
      <c r="D35" s="37">
        <v>350000</v>
      </c>
      <c r="E35" s="37">
        <v>380</v>
      </c>
      <c r="F35" s="37">
        <v>1.53</v>
      </c>
      <c r="G35" s="37">
        <v>100</v>
      </c>
      <c r="H35" s="37">
        <v>90</v>
      </c>
      <c r="I35" s="37">
        <f t="shared" si="0"/>
        <v>19</v>
      </c>
    </row>
    <row r="36" spans="1:9" x14ac:dyDescent="0.45">
      <c r="A36" s="36" t="s">
        <v>113</v>
      </c>
      <c r="B36" s="36" t="s">
        <v>154</v>
      </c>
      <c r="C36" s="36" t="s">
        <v>119</v>
      </c>
      <c r="D36" s="37">
        <v>150000</v>
      </c>
      <c r="E36" s="37">
        <v>250</v>
      </c>
      <c r="F36" s="37">
        <v>1.05</v>
      </c>
      <c r="G36" s="37">
        <v>100</v>
      </c>
      <c r="H36" s="37">
        <v>150</v>
      </c>
      <c r="I36" s="37">
        <f t="shared" si="0"/>
        <v>12.5</v>
      </c>
    </row>
    <row r="37" spans="1:9" x14ac:dyDescent="0.45">
      <c r="A37" s="36" t="s">
        <v>113</v>
      </c>
      <c r="B37" s="36" t="s">
        <v>154</v>
      </c>
      <c r="C37" s="36" t="s">
        <v>120</v>
      </c>
      <c r="D37" s="37">
        <v>250000</v>
      </c>
      <c r="E37" s="37">
        <v>250</v>
      </c>
      <c r="F37" s="37">
        <v>1.35</v>
      </c>
      <c r="G37" s="37">
        <v>100</v>
      </c>
      <c r="H37" s="37">
        <v>150</v>
      </c>
      <c r="I37" s="37">
        <f t="shared" si="0"/>
        <v>12.5</v>
      </c>
    </row>
    <row r="38" spans="1:9" x14ac:dyDescent="0.45">
      <c r="A38" s="36" t="s">
        <v>113</v>
      </c>
      <c r="B38" s="36" t="s">
        <v>154</v>
      </c>
      <c r="C38" s="36" t="s">
        <v>121</v>
      </c>
      <c r="D38" s="37">
        <v>350000</v>
      </c>
      <c r="E38" s="37">
        <v>250</v>
      </c>
      <c r="F38" s="37">
        <v>1.65</v>
      </c>
      <c r="G38" s="37">
        <v>100</v>
      </c>
      <c r="H38" s="37">
        <v>150</v>
      </c>
      <c r="I38" s="37">
        <f t="shared" si="0"/>
        <v>12.5</v>
      </c>
    </row>
    <row r="39" spans="1:9" x14ac:dyDescent="0.45">
      <c r="A39" s="36" t="s">
        <v>113</v>
      </c>
      <c r="B39" s="36" t="s">
        <v>155</v>
      </c>
      <c r="C39" s="36" t="s">
        <v>122</v>
      </c>
      <c r="D39" s="37">
        <v>500000</v>
      </c>
      <c r="E39" s="37">
        <v>450</v>
      </c>
      <c r="F39" s="37">
        <v>1.75</v>
      </c>
      <c r="G39" s="37">
        <v>100</v>
      </c>
      <c r="H39" s="37">
        <v>100</v>
      </c>
      <c r="I39" s="37">
        <f t="shared" si="0"/>
        <v>22.5</v>
      </c>
    </row>
    <row r="40" spans="1:9" x14ac:dyDescent="0.45">
      <c r="A40" s="36" t="s">
        <v>113</v>
      </c>
      <c r="B40" s="36" t="s">
        <v>155</v>
      </c>
      <c r="C40" s="36" t="s">
        <v>123</v>
      </c>
      <c r="D40" s="37">
        <v>500000</v>
      </c>
      <c r="E40" s="37">
        <v>450</v>
      </c>
      <c r="F40" s="37">
        <v>1.75</v>
      </c>
      <c r="G40" s="37">
        <v>100</v>
      </c>
      <c r="H40" s="37">
        <v>100</v>
      </c>
      <c r="I40" s="37">
        <f t="shared" si="0"/>
        <v>22.5</v>
      </c>
    </row>
    <row r="41" spans="1:9" x14ac:dyDescent="0.45">
      <c r="A41" s="36" t="s">
        <v>124</v>
      </c>
      <c r="B41" s="36" t="s">
        <v>152</v>
      </c>
      <c r="C41" s="36" t="s">
        <v>125</v>
      </c>
      <c r="D41" s="37">
        <v>500000</v>
      </c>
      <c r="E41" s="37">
        <v>350</v>
      </c>
      <c r="F41" s="37">
        <v>1.5</v>
      </c>
      <c r="G41" s="37">
        <v>50</v>
      </c>
      <c r="H41" s="37">
        <v>140</v>
      </c>
      <c r="I41" s="37">
        <f t="shared" si="0"/>
        <v>17.5</v>
      </c>
    </row>
    <row r="42" spans="1:9" x14ac:dyDescent="0.45">
      <c r="A42" s="36" t="s">
        <v>124</v>
      </c>
      <c r="B42" s="36" t="s">
        <v>153</v>
      </c>
      <c r="C42" s="36" t="s">
        <v>126</v>
      </c>
      <c r="D42" s="37">
        <v>500000</v>
      </c>
      <c r="E42" s="37">
        <v>350</v>
      </c>
      <c r="F42" s="37">
        <v>1.5</v>
      </c>
      <c r="G42" s="37">
        <v>50</v>
      </c>
      <c r="H42" s="37">
        <v>140</v>
      </c>
      <c r="I42" s="37">
        <f t="shared" si="0"/>
        <v>17.5</v>
      </c>
    </row>
    <row r="43" spans="1:9" x14ac:dyDescent="0.45">
      <c r="A43" s="36" t="s">
        <v>124</v>
      </c>
      <c r="B43" s="36" t="s">
        <v>156</v>
      </c>
      <c r="C43" s="36" t="s">
        <v>127</v>
      </c>
      <c r="D43" s="37">
        <v>700000</v>
      </c>
      <c r="E43" s="37">
        <v>450</v>
      </c>
      <c r="F43" s="37">
        <v>1.7</v>
      </c>
      <c r="G43" s="37">
        <v>50</v>
      </c>
      <c r="H43" s="37">
        <v>140</v>
      </c>
      <c r="I43" s="37">
        <f t="shared" si="0"/>
        <v>22.5</v>
      </c>
    </row>
    <row r="44" spans="1:9" x14ac:dyDescent="0.45">
      <c r="A44" s="36" t="s">
        <v>124</v>
      </c>
      <c r="B44" s="36" t="s">
        <v>155</v>
      </c>
      <c r="C44" s="36" t="s">
        <v>128</v>
      </c>
      <c r="D44" s="37">
        <v>700000</v>
      </c>
      <c r="E44" s="37">
        <v>450</v>
      </c>
      <c r="F44" s="37">
        <v>1.7</v>
      </c>
      <c r="G44" s="37">
        <v>50</v>
      </c>
      <c r="H44" s="37">
        <v>140</v>
      </c>
      <c r="I44" s="37">
        <f t="shared" si="0"/>
        <v>22.5</v>
      </c>
    </row>
    <row r="45" spans="1:9" x14ac:dyDescent="0.45">
      <c r="A45" s="36" t="s">
        <v>124</v>
      </c>
      <c r="B45" s="36" t="s">
        <v>155</v>
      </c>
      <c r="C45" s="36" t="s">
        <v>129</v>
      </c>
      <c r="D45" s="37">
        <v>1000000</v>
      </c>
      <c r="E45" s="37">
        <v>480</v>
      </c>
      <c r="F45" s="37">
        <v>2.8</v>
      </c>
      <c r="G45" s="37">
        <v>50</v>
      </c>
      <c r="H45" s="37">
        <v>140</v>
      </c>
      <c r="I45" s="37">
        <f t="shared" si="0"/>
        <v>24</v>
      </c>
    </row>
    <row r="46" spans="1:9" x14ac:dyDescent="0.45">
      <c r="A46" s="36" t="s">
        <v>130</v>
      </c>
      <c r="B46" s="36" t="s">
        <v>131</v>
      </c>
      <c r="C46" s="36" t="s">
        <v>131</v>
      </c>
      <c r="D46" s="37">
        <v>150000</v>
      </c>
      <c r="E46" s="37">
        <v>550</v>
      </c>
      <c r="F46" s="37">
        <v>1</v>
      </c>
      <c r="G46" s="37">
        <v>50</v>
      </c>
      <c r="H46" s="37">
        <v>40</v>
      </c>
      <c r="I46" s="37">
        <f t="shared" si="0"/>
        <v>27.5</v>
      </c>
    </row>
    <row r="47" spans="1:9" x14ac:dyDescent="0.45">
      <c r="A47" s="36" t="s">
        <v>130</v>
      </c>
      <c r="B47" s="36" t="s">
        <v>157</v>
      </c>
      <c r="C47" s="36" t="s">
        <v>132</v>
      </c>
      <c r="D47" s="37">
        <v>300000</v>
      </c>
      <c r="E47" s="37">
        <v>550</v>
      </c>
      <c r="F47" s="37">
        <v>1.65</v>
      </c>
      <c r="G47" s="37">
        <v>50</v>
      </c>
      <c r="H47" s="37">
        <v>21</v>
      </c>
      <c r="I47" s="37">
        <f t="shared" si="0"/>
        <v>27.5</v>
      </c>
    </row>
    <row r="48" spans="1:9" x14ac:dyDescent="0.45">
      <c r="A48" s="36" t="s">
        <v>130</v>
      </c>
      <c r="B48" s="36" t="s">
        <v>157</v>
      </c>
      <c r="C48" s="36" t="s">
        <v>133</v>
      </c>
      <c r="D48" s="37">
        <v>550000</v>
      </c>
      <c r="E48" s="37">
        <v>500</v>
      </c>
      <c r="F48" s="37">
        <v>1.65</v>
      </c>
      <c r="G48" s="37">
        <v>50</v>
      </c>
      <c r="H48" s="37">
        <v>21</v>
      </c>
      <c r="I48" s="37">
        <f t="shared" si="0"/>
        <v>25</v>
      </c>
    </row>
    <row r="49" spans="1:9" x14ac:dyDescent="0.45">
      <c r="A49" s="36" t="s">
        <v>130</v>
      </c>
      <c r="B49" s="36" t="s">
        <v>157</v>
      </c>
      <c r="C49" s="36" t="s">
        <v>134</v>
      </c>
      <c r="D49" s="37">
        <v>150000</v>
      </c>
      <c r="E49" s="37">
        <v>600</v>
      </c>
      <c r="F49" s="37">
        <v>1.1000000000000001</v>
      </c>
      <c r="G49" s="37">
        <v>50</v>
      </c>
      <c r="H49" s="37">
        <v>21</v>
      </c>
      <c r="I49" s="37">
        <f t="shared" si="0"/>
        <v>30</v>
      </c>
    </row>
    <row r="50" spans="1:9" x14ac:dyDescent="0.45">
      <c r="A50" s="36" t="s">
        <v>130</v>
      </c>
      <c r="B50" s="36" t="s">
        <v>157</v>
      </c>
      <c r="C50" s="36" t="s">
        <v>135</v>
      </c>
      <c r="D50" s="37">
        <v>650000</v>
      </c>
      <c r="E50" s="37">
        <v>650</v>
      </c>
      <c r="F50" s="37">
        <v>1.65</v>
      </c>
      <c r="G50" s="37">
        <v>50</v>
      </c>
      <c r="H50" s="37">
        <v>21</v>
      </c>
      <c r="I50" s="37">
        <f t="shared" si="0"/>
        <v>32.5</v>
      </c>
    </row>
    <row r="51" spans="1:9" x14ac:dyDescent="0.45">
      <c r="A51" s="36" t="s">
        <v>130</v>
      </c>
      <c r="B51" s="36" t="s">
        <v>157</v>
      </c>
      <c r="C51" s="36" t="s">
        <v>136</v>
      </c>
      <c r="D51" s="37">
        <v>850000</v>
      </c>
      <c r="E51" s="37">
        <v>650</v>
      </c>
      <c r="F51" s="37">
        <v>2.25</v>
      </c>
      <c r="G51" s="37">
        <v>50</v>
      </c>
      <c r="H51" s="37">
        <v>21</v>
      </c>
      <c r="I51" s="37">
        <f t="shared" si="0"/>
        <v>32.5</v>
      </c>
    </row>
    <row r="52" spans="1:9" x14ac:dyDescent="0.45">
      <c r="A52" s="36" t="s">
        <v>130</v>
      </c>
      <c r="B52" s="36" t="s">
        <v>112</v>
      </c>
      <c r="C52" s="36" t="s">
        <v>137</v>
      </c>
      <c r="D52" s="37">
        <v>150000</v>
      </c>
      <c r="E52" s="37">
        <v>350</v>
      </c>
      <c r="F52" s="37">
        <v>1.3</v>
      </c>
      <c r="G52" s="37">
        <v>50</v>
      </c>
      <c r="H52" s="37">
        <v>15</v>
      </c>
      <c r="I52" s="37">
        <f t="shared" si="0"/>
        <v>17.5</v>
      </c>
    </row>
    <row r="53" spans="1:9" x14ac:dyDescent="0.45">
      <c r="A53" s="36" t="s">
        <v>130</v>
      </c>
      <c r="B53" s="36" t="s">
        <v>158</v>
      </c>
      <c r="C53" s="36" t="s">
        <v>138</v>
      </c>
      <c r="D53" s="37">
        <v>250000</v>
      </c>
      <c r="E53" s="37">
        <v>350</v>
      </c>
      <c r="F53" s="37">
        <v>2</v>
      </c>
      <c r="G53" s="37">
        <v>50</v>
      </c>
      <c r="H53" s="37">
        <v>15</v>
      </c>
      <c r="I53" s="37">
        <f t="shared" si="0"/>
        <v>17.5</v>
      </c>
    </row>
    <row r="54" spans="1:9" x14ac:dyDescent="0.45">
      <c r="A54" s="36" t="s">
        <v>130</v>
      </c>
      <c r="B54" s="36" t="s">
        <v>158</v>
      </c>
      <c r="C54" s="36" t="s">
        <v>139</v>
      </c>
      <c r="D54" s="37">
        <v>200000</v>
      </c>
      <c r="E54" s="37">
        <v>350</v>
      </c>
      <c r="F54" s="37">
        <v>1.8</v>
      </c>
      <c r="G54" s="37">
        <v>50</v>
      </c>
      <c r="H54" s="37">
        <v>45</v>
      </c>
      <c r="I54" s="37">
        <f t="shared" si="0"/>
        <v>17.5</v>
      </c>
    </row>
    <row r="55" spans="1:9" x14ac:dyDescent="0.45">
      <c r="A55" s="36" t="s">
        <v>130</v>
      </c>
      <c r="B55" s="36" t="s">
        <v>158</v>
      </c>
      <c r="C55" s="36" t="s">
        <v>140</v>
      </c>
      <c r="D55" s="37">
        <v>350000</v>
      </c>
      <c r="E55" s="37">
        <v>350</v>
      </c>
      <c r="F55" s="37">
        <v>1.8</v>
      </c>
      <c r="G55" s="37">
        <v>50</v>
      </c>
      <c r="H55" s="37">
        <v>45</v>
      </c>
      <c r="I55" s="37">
        <f t="shared" si="0"/>
        <v>17.5</v>
      </c>
    </row>
    <row r="56" spans="1:9" x14ac:dyDescent="0.45">
      <c r="A56" s="36" t="s">
        <v>141</v>
      </c>
      <c r="B56" s="36" t="s">
        <v>159</v>
      </c>
      <c r="C56" s="36" t="s">
        <v>142</v>
      </c>
      <c r="D56" s="37">
        <v>650000</v>
      </c>
      <c r="E56" s="37">
        <v>45</v>
      </c>
      <c r="F56" s="37">
        <v>1.2</v>
      </c>
      <c r="G56" s="37">
        <v>55</v>
      </c>
      <c r="H56" s="37">
        <v>21</v>
      </c>
      <c r="I56" s="37">
        <f t="shared" si="0"/>
        <v>2.25</v>
      </c>
    </row>
    <row r="57" spans="1:9" x14ac:dyDescent="0.45">
      <c r="A57" s="36" t="s">
        <v>141</v>
      </c>
      <c r="B57" s="36" t="s">
        <v>143</v>
      </c>
      <c r="C57" s="36" t="s">
        <v>143</v>
      </c>
      <c r="D57" s="37">
        <v>100000</v>
      </c>
      <c r="E57" s="37">
        <v>25</v>
      </c>
      <c r="F57" s="37">
        <v>1.2</v>
      </c>
      <c r="G57" s="37">
        <v>55</v>
      </c>
      <c r="H57" s="37">
        <v>32</v>
      </c>
      <c r="I57" s="37">
        <f t="shared" si="0"/>
        <v>1.25</v>
      </c>
    </row>
    <row r="58" spans="1:9" x14ac:dyDescent="0.45">
      <c r="A58" s="36" t="s">
        <v>141</v>
      </c>
      <c r="B58" s="36" t="s">
        <v>329</v>
      </c>
      <c r="C58" s="38" t="s">
        <v>328</v>
      </c>
      <c r="D58" s="37">
        <v>90000</v>
      </c>
      <c r="E58" s="37">
        <v>87</v>
      </c>
      <c r="F58" s="37"/>
      <c r="G58" s="37">
        <v>45.5</v>
      </c>
      <c r="H58" s="37">
        <v>32</v>
      </c>
      <c r="I58" s="37">
        <v>8.7000000000000011</v>
      </c>
    </row>
    <row r="59" spans="1:9" x14ac:dyDescent="0.45">
      <c r="A59" s="36" t="s">
        <v>338</v>
      </c>
      <c r="B59" s="38" t="s">
        <v>112</v>
      </c>
      <c r="C59" s="38" t="s">
        <v>330</v>
      </c>
      <c r="D59" s="37">
        <v>45000</v>
      </c>
      <c r="E59" s="37">
        <v>50</v>
      </c>
      <c r="F59" s="37"/>
      <c r="G59" s="37">
        <v>8</v>
      </c>
      <c r="H59" s="37">
        <v>20</v>
      </c>
      <c r="I59" s="37">
        <v>5</v>
      </c>
    </row>
    <row r="60" spans="1:9" x14ac:dyDescent="0.45">
      <c r="A60" s="36" t="s">
        <v>338</v>
      </c>
      <c r="B60" s="38" t="s">
        <v>335</v>
      </c>
      <c r="C60" s="38" t="s">
        <v>331</v>
      </c>
      <c r="D60" s="37">
        <v>45000</v>
      </c>
      <c r="E60" s="37">
        <v>60</v>
      </c>
      <c r="F60" s="37"/>
      <c r="G60" s="37">
        <v>8</v>
      </c>
      <c r="H60" s="37">
        <v>20</v>
      </c>
      <c r="I60" s="37">
        <v>6</v>
      </c>
    </row>
    <row r="61" spans="1:9" x14ac:dyDescent="0.45">
      <c r="A61" s="36" t="s">
        <v>338</v>
      </c>
      <c r="B61" s="38" t="s">
        <v>336</v>
      </c>
      <c r="C61" s="38" t="s">
        <v>332</v>
      </c>
      <c r="D61" s="37">
        <v>40000</v>
      </c>
      <c r="E61" s="37">
        <v>60</v>
      </c>
      <c r="F61" s="37"/>
      <c r="G61" s="37">
        <v>8</v>
      </c>
      <c r="H61" s="37">
        <v>20</v>
      </c>
      <c r="I61" s="37">
        <v>6</v>
      </c>
    </row>
    <row r="62" spans="1:9" x14ac:dyDescent="0.45">
      <c r="A62" s="36" t="s">
        <v>338</v>
      </c>
      <c r="B62" s="38" t="s">
        <v>329</v>
      </c>
      <c r="C62" s="38" t="s">
        <v>333</v>
      </c>
      <c r="D62" s="37">
        <v>35000</v>
      </c>
      <c r="E62" s="37">
        <v>45</v>
      </c>
      <c r="F62" s="37"/>
      <c r="G62" s="37">
        <v>8</v>
      </c>
      <c r="H62" s="37">
        <v>20</v>
      </c>
      <c r="I62" s="37">
        <v>4.5</v>
      </c>
    </row>
    <row r="63" spans="1:9" x14ac:dyDescent="0.45">
      <c r="A63" s="36" t="s">
        <v>338</v>
      </c>
      <c r="B63" s="38" t="s">
        <v>337</v>
      </c>
      <c r="C63" s="38" t="s">
        <v>334</v>
      </c>
      <c r="D63" s="37">
        <v>20000</v>
      </c>
      <c r="E63" s="37">
        <v>30</v>
      </c>
      <c r="F63" s="37"/>
      <c r="G63" s="37">
        <v>8</v>
      </c>
      <c r="H63" s="37">
        <v>20</v>
      </c>
      <c r="I63" s="37">
        <v>3</v>
      </c>
    </row>
    <row r="64" spans="1:9" x14ac:dyDescent="0.45">
      <c r="A64" s="38" t="s">
        <v>339</v>
      </c>
      <c r="B64" s="38" t="s">
        <v>340</v>
      </c>
      <c r="C64" s="38" t="s">
        <v>341</v>
      </c>
      <c r="D64" s="37">
        <v>2000000</v>
      </c>
      <c r="E64" s="37">
        <v>700</v>
      </c>
      <c r="F64" s="37"/>
      <c r="G64" s="37">
        <v>380</v>
      </c>
      <c r="H64" s="37">
        <v>230</v>
      </c>
      <c r="I64" s="37">
        <v>70</v>
      </c>
    </row>
    <row r="65" spans="1:9" x14ac:dyDescent="0.45">
      <c r="A65" s="38" t="s">
        <v>339</v>
      </c>
      <c r="B65" s="38" t="s">
        <v>340</v>
      </c>
      <c r="C65" s="38" t="s">
        <v>342</v>
      </c>
      <c r="D65" s="37">
        <v>2500000</v>
      </c>
      <c r="E65" s="37">
        <v>500</v>
      </c>
      <c r="F65" s="37"/>
      <c r="G65" s="37">
        <v>450</v>
      </c>
      <c r="H65" s="37">
        <v>260</v>
      </c>
      <c r="I65" s="37">
        <v>50</v>
      </c>
    </row>
    <row r="66" spans="1:9" x14ac:dyDescent="0.45">
      <c r="A66" s="38" t="s">
        <v>339</v>
      </c>
      <c r="B66" s="38" t="s">
        <v>340</v>
      </c>
      <c r="C66" s="38" t="s">
        <v>343</v>
      </c>
      <c r="D66" s="37">
        <v>3500000</v>
      </c>
      <c r="E66" s="37">
        <v>300</v>
      </c>
      <c r="F66" s="37"/>
      <c r="G66" s="37">
        <v>550</v>
      </c>
      <c r="H66" s="37">
        <v>300</v>
      </c>
      <c r="I66" s="37">
        <v>30</v>
      </c>
    </row>
    <row r="67" spans="1:9" x14ac:dyDescent="0.45">
      <c r="A67" s="38" t="s">
        <v>339</v>
      </c>
      <c r="B67" s="38" t="s">
        <v>344</v>
      </c>
      <c r="C67" s="38" t="s">
        <v>345</v>
      </c>
      <c r="D67" s="37">
        <v>2200000</v>
      </c>
      <c r="E67" s="37">
        <v>750</v>
      </c>
      <c r="F67" s="37"/>
      <c r="G67" s="37">
        <v>400</v>
      </c>
      <c r="H67" s="37">
        <v>230</v>
      </c>
      <c r="I67" s="37">
        <v>75</v>
      </c>
    </row>
    <row r="68" spans="1:9" x14ac:dyDescent="0.45">
      <c r="A68" s="38" t="s">
        <v>339</v>
      </c>
      <c r="B68" s="38" t="s">
        <v>344</v>
      </c>
      <c r="C68" s="38" t="s">
        <v>346</v>
      </c>
      <c r="D68" s="37">
        <v>3000000</v>
      </c>
      <c r="E68" s="37">
        <v>550</v>
      </c>
      <c r="F68" s="37"/>
      <c r="G68" s="37">
        <v>480</v>
      </c>
      <c r="H68" s="37">
        <v>270</v>
      </c>
      <c r="I68" s="37">
        <v>55</v>
      </c>
    </row>
    <row r="69" spans="1:9" x14ac:dyDescent="0.45">
      <c r="A69" s="38" t="s">
        <v>339</v>
      </c>
      <c r="B69" s="38" t="s">
        <v>347</v>
      </c>
      <c r="C69" s="38" t="s">
        <v>348</v>
      </c>
      <c r="D69" s="37">
        <v>1200000</v>
      </c>
      <c r="E69" s="37">
        <v>600</v>
      </c>
      <c r="F69" s="37"/>
      <c r="G69" s="37">
        <v>360</v>
      </c>
      <c r="H69" s="37">
        <v>210</v>
      </c>
      <c r="I69" s="37">
        <v>60</v>
      </c>
    </row>
    <row r="70" spans="1:9" x14ac:dyDescent="0.45">
      <c r="A70" s="38" t="s">
        <v>339</v>
      </c>
      <c r="B70" s="38" t="s">
        <v>347</v>
      </c>
      <c r="C70" s="38" t="s">
        <v>349</v>
      </c>
      <c r="D70" s="37">
        <v>1800000</v>
      </c>
      <c r="E70" s="37">
        <v>500</v>
      </c>
      <c r="F70" s="37"/>
      <c r="G70" s="37">
        <v>420</v>
      </c>
      <c r="H70" s="37">
        <v>240</v>
      </c>
      <c r="I70" s="37">
        <v>50</v>
      </c>
    </row>
    <row r="71" spans="1:9" x14ac:dyDescent="0.45">
      <c r="A71" s="38" t="s">
        <v>358</v>
      </c>
      <c r="B71" s="38" t="s">
        <v>158</v>
      </c>
      <c r="C71" s="38" t="s">
        <v>359</v>
      </c>
      <c r="D71" s="37">
        <v>100000</v>
      </c>
      <c r="E71" s="37">
        <v>300</v>
      </c>
      <c r="F71" s="37"/>
      <c r="G71" s="37">
        <v>12</v>
      </c>
      <c r="H71" s="37">
        <v>9.6</v>
      </c>
      <c r="I71" s="37"/>
    </row>
    <row r="72" spans="1:9" x14ac:dyDescent="0.45">
      <c r="A72" s="38" t="s">
        <v>358</v>
      </c>
      <c r="B72" s="38" t="s">
        <v>158</v>
      </c>
      <c r="C72" s="38" t="s">
        <v>360</v>
      </c>
      <c r="D72" s="37">
        <v>180000</v>
      </c>
      <c r="E72" s="37">
        <v>500</v>
      </c>
      <c r="F72" s="37"/>
      <c r="G72" s="37">
        <v>12</v>
      </c>
      <c r="H72" s="37">
        <v>9.6</v>
      </c>
      <c r="I72" s="37"/>
    </row>
    <row r="73" spans="1:9" x14ac:dyDescent="0.45">
      <c r="A73" s="38" t="s">
        <v>358</v>
      </c>
      <c r="B73" s="38" t="s">
        <v>361</v>
      </c>
      <c r="C73" s="38" t="s">
        <v>362</v>
      </c>
      <c r="D73" s="37">
        <v>250000</v>
      </c>
      <c r="E73" s="37">
        <v>400</v>
      </c>
      <c r="F73" s="37"/>
      <c r="G73" s="37">
        <v>20</v>
      </c>
      <c r="H73" s="37">
        <v>28</v>
      </c>
      <c r="I73" s="37"/>
    </row>
    <row r="74" spans="1:9" x14ac:dyDescent="0.45">
      <c r="A74" s="38" t="s">
        <v>358</v>
      </c>
      <c r="B74" s="38" t="s">
        <v>329</v>
      </c>
      <c r="C74" s="38" t="s">
        <v>363</v>
      </c>
      <c r="D74" s="37">
        <v>40000</v>
      </c>
      <c r="E74" s="37">
        <v>300</v>
      </c>
      <c r="F74" s="37"/>
      <c r="G74" s="37">
        <v>8</v>
      </c>
      <c r="H74" s="37">
        <v>17.5</v>
      </c>
      <c r="I74" s="37"/>
    </row>
    <row r="75" spans="1:9" x14ac:dyDescent="0.45">
      <c r="A75" s="38" t="s">
        <v>358</v>
      </c>
      <c r="B75" s="38" t="s">
        <v>364</v>
      </c>
      <c r="C75" s="38" t="s">
        <v>364</v>
      </c>
      <c r="D75" s="37">
        <v>45000</v>
      </c>
      <c r="E75" s="37">
        <v>400</v>
      </c>
      <c r="F75" s="37"/>
      <c r="G75" s="37">
        <v>8</v>
      </c>
      <c r="H75" s="37">
        <v>9.6</v>
      </c>
      <c r="I75" s="37"/>
    </row>
    <row r="76" spans="1:9" x14ac:dyDescent="0.45">
      <c r="A76" s="38" t="s">
        <v>358</v>
      </c>
      <c r="B76" s="38" t="s">
        <v>365</v>
      </c>
      <c r="C76" s="38" t="s">
        <v>365</v>
      </c>
      <c r="D76" s="37">
        <v>30000</v>
      </c>
      <c r="E76" s="37">
        <v>200</v>
      </c>
      <c r="F76" s="37"/>
      <c r="G76" s="37">
        <v>5</v>
      </c>
      <c r="H76" s="37">
        <v>9.6</v>
      </c>
      <c r="I76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D1C0-BFC4-4D6C-8B89-2B34F48703E3}">
  <dimension ref="A3:L24"/>
  <sheetViews>
    <sheetView workbookViewId="0">
      <selection activeCell="B14" sqref="B14"/>
    </sheetView>
  </sheetViews>
  <sheetFormatPr defaultRowHeight="14.25" x14ac:dyDescent="0.45"/>
  <cols>
    <col min="1" max="1" width="15.59765625" bestFit="1" customWidth="1"/>
    <col min="2" max="2" width="17.9296875" bestFit="1" customWidth="1"/>
    <col min="4" max="4" width="12.59765625" bestFit="1" customWidth="1"/>
    <col min="5" max="5" width="12.33203125" bestFit="1" customWidth="1"/>
    <col min="6" max="6" width="16.33203125" bestFit="1" customWidth="1"/>
    <col min="7" max="7" width="9.1328125" bestFit="1" customWidth="1"/>
    <col min="8" max="8" width="10.86328125" bestFit="1" customWidth="1"/>
    <col min="9" max="9" width="9.86328125" bestFit="1" customWidth="1"/>
    <col min="10" max="11" width="9.1328125" bestFit="1" customWidth="1"/>
    <col min="12" max="12" width="12.6640625" customWidth="1"/>
  </cols>
  <sheetData>
    <row r="3" spans="1:12" x14ac:dyDescent="0.45">
      <c r="A3" s="18" t="s">
        <v>160</v>
      </c>
    </row>
    <row r="4" spans="1:12" x14ac:dyDescent="0.45">
      <c r="A4" s="13" t="s">
        <v>2</v>
      </c>
      <c r="B4" s="13" t="s">
        <v>161</v>
      </c>
      <c r="C4" s="13" t="s">
        <v>3</v>
      </c>
      <c r="D4" s="13" t="s">
        <v>4</v>
      </c>
      <c r="E4" s="13" t="s">
        <v>80</v>
      </c>
      <c r="F4" s="13" t="s">
        <v>162</v>
      </c>
      <c r="G4" s="13" t="s">
        <v>163</v>
      </c>
      <c r="H4" s="13" t="s">
        <v>164</v>
      </c>
      <c r="I4" s="13" t="s">
        <v>165</v>
      </c>
      <c r="J4" s="13" t="s">
        <v>7</v>
      </c>
      <c r="K4" s="13" t="s">
        <v>166</v>
      </c>
      <c r="L4" s="13" t="s">
        <v>167</v>
      </c>
    </row>
    <row r="5" spans="1:12" x14ac:dyDescent="0.45">
      <c r="A5" s="3" t="s">
        <v>168</v>
      </c>
      <c r="B5" s="3" t="s">
        <v>169</v>
      </c>
      <c r="C5" s="3" t="s">
        <v>170</v>
      </c>
      <c r="D5" s="3" t="s">
        <v>171</v>
      </c>
      <c r="E5" s="9">
        <f>0.9*10^6</f>
        <v>900000</v>
      </c>
      <c r="F5" s="9">
        <v>125</v>
      </c>
      <c r="G5" s="9"/>
      <c r="H5" s="9">
        <f t="shared" ref="H5:H7" si="0">E5*10%</f>
        <v>90000</v>
      </c>
      <c r="I5" s="9">
        <f>70*10^5/90</f>
        <v>77777.777777777781</v>
      </c>
      <c r="J5" s="19">
        <v>20</v>
      </c>
      <c r="K5" s="9">
        <v>22</v>
      </c>
      <c r="L5" s="9">
        <v>47.52</v>
      </c>
    </row>
    <row r="6" spans="1:12" x14ac:dyDescent="0.45">
      <c r="A6" s="3"/>
      <c r="B6" s="3" t="s">
        <v>169</v>
      </c>
      <c r="C6" s="3" t="s">
        <v>170</v>
      </c>
      <c r="D6" s="3" t="s">
        <v>172</v>
      </c>
      <c r="E6" s="9">
        <f>1.5*10^6</f>
        <v>1500000</v>
      </c>
      <c r="F6" s="9">
        <v>250</v>
      </c>
      <c r="G6" s="9"/>
      <c r="H6" s="9">
        <f t="shared" si="0"/>
        <v>150000</v>
      </c>
      <c r="I6" s="9">
        <f t="shared" ref="I6:I12" si="1">70*10^5/90</f>
        <v>77777.777777777781</v>
      </c>
      <c r="J6" s="19">
        <v>20</v>
      </c>
      <c r="K6" s="9">
        <v>25</v>
      </c>
      <c r="L6" s="9">
        <v>95.04</v>
      </c>
    </row>
    <row r="7" spans="1:12" x14ac:dyDescent="0.45">
      <c r="A7" s="3"/>
      <c r="B7" s="3" t="s">
        <v>169</v>
      </c>
      <c r="C7" s="3" t="s">
        <v>170</v>
      </c>
      <c r="D7" s="3" t="s">
        <v>173</v>
      </c>
      <c r="E7" s="9">
        <v>850000</v>
      </c>
      <c r="F7" s="9">
        <v>120</v>
      </c>
      <c r="G7" s="9"/>
      <c r="H7" s="9">
        <f t="shared" si="0"/>
        <v>85000</v>
      </c>
      <c r="I7" s="9">
        <f t="shared" si="1"/>
        <v>77777.777777777781</v>
      </c>
      <c r="J7" s="19">
        <v>15</v>
      </c>
      <c r="K7" s="9">
        <v>22</v>
      </c>
      <c r="L7" s="9">
        <v>45.619199999999999</v>
      </c>
    </row>
    <row r="8" spans="1:12" x14ac:dyDescent="0.45">
      <c r="A8" s="3"/>
      <c r="B8" s="3" t="s">
        <v>169</v>
      </c>
      <c r="C8" s="3" t="s">
        <v>170</v>
      </c>
      <c r="D8" s="3" t="s">
        <v>174</v>
      </c>
      <c r="E8" s="9">
        <f>1.8*10^6</f>
        <v>1800000</v>
      </c>
      <c r="F8" s="9">
        <v>300</v>
      </c>
      <c r="G8" s="9"/>
      <c r="H8" s="9">
        <f>E8*10%</f>
        <v>180000</v>
      </c>
      <c r="I8" s="9">
        <f t="shared" si="1"/>
        <v>77777.777777777781</v>
      </c>
      <c r="J8" s="19">
        <v>25</v>
      </c>
      <c r="K8" s="9">
        <v>30</v>
      </c>
      <c r="L8" s="9">
        <v>114.048</v>
      </c>
    </row>
    <row r="9" spans="1:12" x14ac:dyDescent="0.45">
      <c r="A9" s="3"/>
      <c r="B9" s="3" t="s">
        <v>175</v>
      </c>
      <c r="C9" s="3" t="s">
        <v>176</v>
      </c>
      <c r="D9" s="4">
        <v>8005</v>
      </c>
      <c r="E9" s="9">
        <v>380000</v>
      </c>
      <c r="F9" s="9">
        <v>90</v>
      </c>
      <c r="G9" s="9"/>
      <c r="H9" s="9">
        <f>E9*10%</f>
        <v>38000</v>
      </c>
      <c r="I9" s="9">
        <f>50*10^5/90</f>
        <v>55555.555555555555</v>
      </c>
      <c r="J9" s="19">
        <v>15</v>
      </c>
      <c r="K9" s="9">
        <v>22</v>
      </c>
      <c r="L9" s="9">
        <v>34.214399999999998</v>
      </c>
    </row>
    <row r="10" spans="1:12" x14ac:dyDescent="0.45">
      <c r="A10" s="3"/>
      <c r="B10" s="3" t="s">
        <v>175</v>
      </c>
      <c r="C10" s="3" t="s">
        <v>177</v>
      </c>
      <c r="D10" s="3" t="s">
        <v>178</v>
      </c>
      <c r="E10" s="9">
        <f>800000</f>
        <v>800000</v>
      </c>
      <c r="F10" s="9">
        <v>100</v>
      </c>
      <c r="G10" s="9"/>
      <c r="H10" s="9">
        <f t="shared" ref="H10:H12" si="2">E10*10%</f>
        <v>80000</v>
      </c>
      <c r="I10" s="9">
        <f t="shared" si="1"/>
        <v>77777.777777777781</v>
      </c>
      <c r="J10" s="19">
        <v>15</v>
      </c>
      <c r="K10" s="9">
        <v>22</v>
      </c>
      <c r="L10" s="9">
        <v>38.015999999999998</v>
      </c>
    </row>
    <row r="11" spans="1:12" x14ac:dyDescent="0.45">
      <c r="A11" s="3"/>
      <c r="B11" s="3" t="s">
        <v>175</v>
      </c>
      <c r="C11" s="3" t="s">
        <v>177</v>
      </c>
      <c r="D11" s="3" t="s">
        <v>179</v>
      </c>
      <c r="E11" s="9">
        <f>850000</f>
        <v>850000</v>
      </c>
      <c r="F11" s="9">
        <v>120</v>
      </c>
      <c r="G11" s="9"/>
      <c r="H11" s="9">
        <f t="shared" si="2"/>
        <v>85000</v>
      </c>
      <c r="I11" s="9">
        <f t="shared" si="1"/>
        <v>77777.777777777781</v>
      </c>
      <c r="J11" s="19">
        <v>15</v>
      </c>
      <c r="K11" s="9">
        <v>22</v>
      </c>
      <c r="L11" s="9">
        <v>45.619199999999999</v>
      </c>
    </row>
    <row r="12" spans="1:12" x14ac:dyDescent="0.45">
      <c r="A12" s="3"/>
      <c r="B12" s="3" t="s">
        <v>175</v>
      </c>
      <c r="C12" s="3" t="s">
        <v>177</v>
      </c>
      <c r="D12" s="3" t="s">
        <v>180</v>
      </c>
      <c r="E12" s="9">
        <f>1.5*10^6</f>
        <v>1500000</v>
      </c>
      <c r="F12" s="9">
        <v>240</v>
      </c>
      <c r="G12" s="9"/>
      <c r="H12" s="9">
        <f t="shared" si="2"/>
        <v>150000</v>
      </c>
      <c r="I12" s="9">
        <f t="shared" si="1"/>
        <v>77777.777777777781</v>
      </c>
      <c r="J12" s="19">
        <v>20</v>
      </c>
      <c r="K12" s="9">
        <v>25</v>
      </c>
      <c r="L12" s="9">
        <v>91.238399999999999</v>
      </c>
    </row>
    <row r="13" spans="1:12" x14ac:dyDescent="0.45">
      <c r="A13" s="3" t="s">
        <v>67</v>
      </c>
      <c r="B13" s="3" t="s">
        <v>175</v>
      </c>
      <c r="C13" s="3"/>
      <c r="D13" s="3"/>
      <c r="E13" s="9"/>
      <c r="F13" s="9"/>
      <c r="G13" s="9"/>
      <c r="H13" s="9"/>
      <c r="I13" s="9"/>
      <c r="J13" s="19">
        <v>30</v>
      </c>
      <c r="K13" s="9">
        <v>22.8</v>
      </c>
      <c r="L13" s="9"/>
    </row>
    <row r="14" spans="1:12" x14ac:dyDescent="0.45">
      <c r="A14" s="3"/>
      <c r="B14" s="3" t="s">
        <v>181</v>
      </c>
      <c r="C14" s="3" t="s">
        <v>182</v>
      </c>
      <c r="D14" s="3" t="s">
        <v>183</v>
      </c>
      <c r="E14" s="9">
        <f>(50000)*125%</f>
        <v>62500</v>
      </c>
      <c r="F14" s="9"/>
      <c r="G14" s="9"/>
      <c r="H14" s="9"/>
      <c r="I14" s="9"/>
      <c r="J14" s="19">
        <v>30</v>
      </c>
      <c r="K14" s="9">
        <v>22.8</v>
      </c>
      <c r="L14" s="9"/>
    </row>
    <row r="15" spans="1:12" x14ac:dyDescent="0.45">
      <c r="A15" s="3"/>
      <c r="B15" s="3" t="s">
        <v>181</v>
      </c>
      <c r="C15" s="3" t="s">
        <v>182</v>
      </c>
      <c r="D15" s="3" t="s">
        <v>184</v>
      </c>
      <c r="E15" s="9">
        <f>(53000)*125%</f>
        <v>66250</v>
      </c>
      <c r="F15" s="9"/>
      <c r="G15" s="9"/>
      <c r="H15" s="9"/>
      <c r="I15" s="9"/>
      <c r="J15" s="19">
        <v>30</v>
      </c>
      <c r="K15" s="9">
        <v>27.8</v>
      </c>
      <c r="L15" s="9"/>
    </row>
    <row r="16" spans="1:12" x14ac:dyDescent="0.45">
      <c r="A16" s="3"/>
      <c r="B16" s="3" t="s">
        <v>181</v>
      </c>
      <c r="C16" s="3" t="s">
        <v>182</v>
      </c>
      <c r="D16" s="3" t="s">
        <v>185</v>
      </c>
      <c r="E16" s="9">
        <f>(56000)*125%</f>
        <v>70000</v>
      </c>
      <c r="F16" s="9"/>
      <c r="G16" s="9"/>
      <c r="H16" s="9"/>
      <c r="I16" s="9"/>
      <c r="J16" s="19">
        <v>30</v>
      </c>
      <c r="K16" s="9">
        <v>31</v>
      </c>
      <c r="L16" s="9"/>
    </row>
    <row r="17" spans="1:12" x14ac:dyDescent="0.45">
      <c r="A17" s="3"/>
      <c r="B17" s="3" t="s">
        <v>181</v>
      </c>
      <c r="C17" s="3" t="s">
        <v>186</v>
      </c>
      <c r="D17" s="3" t="s">
        <v>187</v>
      </c>
      <c r="E17" s="9">
        <f>E14</f>
        <v>62500</v>
      </c>
      <c r="F17" s="9"/>
      <c r="G17" s="9"/>
      <c r="H17" s="9"/>
      <c r="I17" s="9"/>
      <c r="J17" s="19">
        <v>30</v>
      </c>
      <c r="K17" s="9">
        <v>22.8</v>
      </c>
      <c r="L17" s="9"/>
    </row>
    <row r="18" spans="1:12" x14ac:dyDescent="0.45">
      <c r="A18" s="3"/>
      <c r="B18" s="3" t="s">
        <v>181</v>
      </c>
      <c r="C18" s="3" t="s">
        <v>186</v>
      </c>
      <c r="D18" s="3" t="s">
        <v>188</v>
      </c>
      <c r="E18" s="9">
        <f>E15</f>
        <v>66250</v>
      </c>
      <c r="F18" s="9"/>
      <c r="G18" s="9"/>
      <c r="H18" s="9"/>
      <c r="I18" s="9"/>
      <c r="J18" s="19">
        <v>30</v>
      </c>
      <c r="K18" s="9">
        <v>27.8</v>
      </c>
      <c r="L18" s="9"/>
    </row>
    <row r="19" spans="1:12" x14ac:dyDescent="0.45">
      <c r="A19" s="3" t="s">
        <v>189</v>
      </c>
      <c r="B19" s="3" t="s">
        <v>102</v>
      </c>
      <c r="C19" s="3"/>
      <c r="D19" s="3"/>
      <c r="E19" s="9"/>
      <c r="F19" s="9"/>
      <c r="G19" s="9"/>
      <c r="H19" s="9"/>
      <c r="I19" s="9"/>
      <c r="J19" s="19">
        <v>30</v>
      </c>
      <c r="K19" s="9">
        <v>35</v>
      </c>
      <c r="L19" s="9"/>
    </row>
    <row r="20" spans="1:12" x14ac:dyDescent="0.45">
      <c r="A20" s="3"/>
      <c r="B20" s="3" t="s">
        <v>102</v>
      </c>
      <c r="C20" s="3" t="s">
        <v>190</v>
      </c>
      <c r="D20" s="3" t="s">
        <v>191</v>
      </c>
      <c r="E20" s="9">
        <f>1.2*10^6</f>
        <v>1200000</v>
      </c>
      <c r="F20" s="9">
        <v>200</v>
      </c>
      <c r="G20" s="9">
        <v>0.35499999999999998</v>
      </c>
      <c r="H20" s="9"/>
      <c r="I20" s="9"/>
      <c r="J20" s="19">
        <v>30</v>
      </c>
      <c r="K20" s="9">
        <v>35</v>
      </c>
      <c r="L20" s="9">
        <f>F20*G20*60*24*80%*330</f>
        <v>26991360</v>
      </c>
    </row>
    <row r="21" spans="1:12" x14ac:dyDescent="0.45">
      <c r="A21" s="3"/>
      <c r="B21" s="3" t="s">
        <v>102</v>
      </c>
      <c r="C21" s="3" t="s">
        <v>192</v>
      </c>
      <c r="D21" s="3" t="s">
        <v>193</v>
      </c>
      <c r="E21" s="9">
        <f>0.9*10^6</f>
        <v>900000</v>
      </c>
      <c r="F21" s="9">
        <v>165</v>
      </c>
      <c r="G21" s="9">
        <v>0.34</v>
      </c>
      <c r="H21" s="9"/>
      <c r="I21" s="9"/>
      <c r="J21" s="19">
        <v>30</v>
      </c>
      <c r="K21" s="9">
        <v>35</v>
      </c>
      <c r="L21" s="9">
        <f>F21*G21*60*24*80%*330</f>
        <v>21326976</v>
      </c>
    </row>
    <row r="22" spans="1:12" x14ac:dyDescent="0.45">
      <c r="A22" s="3"/>
      <c r="B22" s="3"/>
      <c r="C22" s="3"/>
      <c r="D22" s="3"/>
      <c r="E22" s="9"/>
      <c r="F22" s="9"/>
      <c r="G22" s="9"/>
      <c r="H22" s="9"/>
      <c r="I22" s="9"/>
      <c r="J22" s="19">
        <v>30</v>
      </c>
      <c r="K22" s="9">
        <v>35</v>
      </c>
      <c r="L22" s="9">
        <f>F22*G22*60*24*80%*330</f>
        <v>0</v>
      </c>
    </row>
    <row r="23" spans="1:12" x14ac:dyDescent="0.45">
      <c r="A23" s="3"/>
      <c r="B23" s="3"/>
      <c r="C23" s="3"/>
      <c r="D23" s="3"/>
      <c r="E23" s="9"/>
      <c r="F23" s="9"/>
      <c r="G23" s="9"/>
      <c r="H23" s="9"/>
      <c r="I23" s="9"/>
      <c r="J23" s="9"/>
      <c r="K23" s="9"/>
      <c r="L23" s="9"/>
    </row>
    <row r="24" spans="1:12" x14ac:dyDescent="0.45">
      <c r="A24" s="3"/>
      <c r="B24" s="3"/>
      <c r="C24" s="3"/>
      <c r="D24" s="3"/>
      <c r="E24" s="9"/>
      <c r="F24" s="9"/>
      <c r="G24" s="9"/>
      <c r="H24" s="9"/>
      <c r="I24" s="9"/>
      <c r="J24" s="9"/>
      <c r="K24" s="9"/>
      <c r="L24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FF5E-B846-42C2-A9D6-A587EB9D9570}">
  <dimension ref="A3:H42"/>
  <sheetViews>
    <sheetView topLeftCell="A24" workbookViewId="0">
      <selection activeCell="E36" sqref="E36"/>
    </sheetView>
  </sheetViews>
  <sheetFormatPr defaultRowHeight="14.25" x14ac:dyDescent="0.45"/>
  <cols>
    <col min="1" max="1" width="13" bestFit="1" customWidth="1"/>
    <col min="2" max="2" width="17.265625" bestFit="1" customWidth="1"/>
    <col min="3" max="3" width="20.1328125" bestFit="1" customWidth="1"/>
    <col min="4" max="4" width="11.06640625" bestFit="1" customWidth="1"/>
    <col min="5" max="5" width="15.33203125" bestFit="1" customWidth="1"/>
    <col min="6" max="6" width="14.796875" bestFit="1" customWidth="1"/>
    <col min="7" max="7" width="18.1328125" bestFit="1" customWidth="1"/>
    <col min="8" max="8" width="16.6640625" bestFit="1" customWidth="1"/>
  </cols>
  <sheetData>
    <row r="3" spans="1:8" x14ac:dyDescent="0.45">
      <c r="A3" s="13" t="s">
        <v>2</v>
      </c>
      <c r="B3" s="13" t="s">
        <v>3</v>
      </c>
      <c r="C3" s="13" t="s">
        <v>4</v>
      </c>
      <c r="D3" s="13" t="s">
        <v>80</v>
      </c>
      <c r="E3" s="13" t="s">
        <v>81</v>
      </c>
      <c r="F3" s="13" t="s">
        <v>82</v>
      </c>
      <c r="G3" s="13" t="s">
        <v>5</v>
      </c>
      <c r="H3" s="13" t="s">
        <v>7</v>
      </c>
    </row>
    <row r="4" spans="1:8" x14ac:dyDescent="0.45">
      <c r="A4" s="14" t="s">
        <v>194</v>
      </c>
      <c r="B4" s="14" t="s">
        <v>196</v>
      </c>
      <c r="C4" s="3" t="s">
        <v>196</v>
      </c>
      <c r="D4" s="6">
        <v>1800000</v>
      </c>
      <c r="E4" s="6">
        <v>250</v>
      </c>
      <c r="F4" s="6">
        <v>1.8</v>
      </c>
      <c r="G4" s="6">
        <v>340</v>
      </c>
      <c r="H4" s="6">
        <v>450</v>
      </c>
    </row>
    <row r="5" spans="1:8" x14ac:dyDescent="0.45">
      <c r="A5" s="14" t="s">
        <v>194</v>
      </c>
      <c r="B5" s="14" t="s">
        <v>197</v>
      </c>
      <c r="C5" s="3" t="s">
        <v>198</v>
      </c>
      <c r="D5" s="6">
        <v>1800000</v>
      </c>
      <c r="E5" s="6">
        <v>250</v>
      </c>
      <c r="F5" s="6">
        <v>1.8</v>
      </c>
      <c r="G5" s="6">
        <v>340</v>
      </c>
      <c r="H5" s="6">
        <v>450</v>
      </c>
    </row>
    <row r="6" spans="1:8" x14ac:dyDescent="0.45">
      <c r="A6" s="14" t="s">
        <v>194</v>
      </c>
      <c r="B6" s="14" t="s">
        <v>197</v>
      </c>
      <c r="C6" s="3" t="s">
        <v>199</v>
      </c>
      <c r="D6" s="6">
        <v>1800000</v>
      </c>
      <c r="E6" s="6">
        <v>300</v>
      </c>
      <c r="F6" s="6">
        <v>1.8</v>
      </c>
      <c r="G6" s="6">
        <v>340</v>
      </c>
      <c r="H6" s="6">
        <v>450</v>
      </c>
    </row>
    <row r="7" spans="1:8" x14ac:dyDescent="0.45">
      <c r="A7" s="14" t="s">
        <v>194</v>
      </c>
      <c r="B7" s="14" t="s">
        <v>197</v>
      </c>
      <c r="C7" s="3" t="s">
        <v>200</v>
      </c>
      <c r="D7" s="6">
        <v>1800000</v>
      </c>
      <c r="E7" s="6">
        <v>350</v>
      </c>
      <c r="F7" s="6">
        <v>1.8</v>
      </c>
      <c r="G7" s="6">
        <v>340</v>
      </c>
      <c r="H7" s="6">
        <v>450</v>
      </c>
    </row>
    <row r="8" spans="1:8" x14ac:dyDescent="0.45">
      <c r="A8" s="14" t="s">
        <v>194</v>
      </c>
      <c r="B8" s="14" t="s">
        <v>195</v>
      </c>
      <c r="C8" s="3" t="s">
        <v>201</v>
      </c>
      <c r="D8" s="6">
        <v>2950000</v>
      </c>
      <c r="E8" s="6">
        <v>150</v>
      </c>
      <c r="F8" s="6">
        <v>1.8</v>
      </c>
      <c r="G8" s="6">
        <v>340</v>
      </c>
      <c r="H8" s="6">
        <v>450</v>
      </c>
    </row>
    <row r="9" spans="1:8" x14ac:dyDescent="0.45">
      <c r="A9" s="14" t="s">
        <v>194</v>
      </c>
      <c r="B9" s="14" t="s">
        <v>195</v>
      </c>
      <c r="C9" s="3" t="s">
        <v>202</v>
      </c>
      <c r="D9" s="6">
        <v>3950000</v>
      </c>
      <c r="E9" s="6">
        <v>250</v>
      </c>
      <c r="F9" s="6">
        <v>2.2000000000000002</v>
      </c>
      <c r="G9" s="6">
        <v>340</v>
      </c>
      <c r="H9" s="6">
        <v>450</v>
      </c>
    </row>
    <row r="10" spans="1:8" x14ac:dyDescent="0.45">
      <c r="A10" s="14" t="s">
        <v>194</v>
      </c>
      <c r="B10" s="14" t="s">
        <v>203</v>
      </c>
      <c r="C10" s="3" t="s">
        <v>204</v>
      </c>
      <c r="D10" s="6">
        <v>4750000</v>
      </c>
      <c r="E10" s="6">
        <v>370</v>
      </c>
      <c r="F10" s="6">
        <v>2.4</v>
      </c>
      <c r="G10" s="6">
        <v>340</v>
      </c>
      <c r="H10" s="6">
        <v>450</v>
      </c>
    </row>
    <row r="11" spans="1:8" x14ac:dyDescent="0.45">
      <c r="A11" s="14" t="s">
        <v>194</v>
      </c>
      <c r="B11" s="14" t="s">
        <v>203</v>
      </c>
      <c r="C11" s="3" t="s">
        <v>205</v>
      </c>
      <c r="D11" s="6">
        <v>3950000</v>
      </c>
      <c r="E11" s="6">
        <v>270</v>
      </c>
      <c r="F11" s="6">
        <v>2.4</v>
      </c>
      <c r="G11" s="6">
        <v>340</v>
      </c>
      <c r="H11" s="6">
        <v>450</v>
      </c>
    </row>
    <row r="12" spans="1:8" x14ac:dyDescent="0.45">
      <c r="A12" s="14" t="s">
        <v>194</v>
      </c>
      <c r="B12" s="14" t="s">
        <v>206</v>
      </c>
      <c r="C12" s="3" t="s">
        <v>207</v>
      </c>
      <c r="D12" s="6">
        <v>5950000</v>
      </c>
      <c r="E12" s="6">
        <v>400</v>
      </c>
      <c r="F12" s="6">
        <v>2.4</v>
      </c>
      <c r="G12" s="6">
        <v>340</v>
      </c>
      <c r="H12" s="6">
        <v>450</v>
      </c>
    </row>
    <row r="13" spans="1:8" x14ac:dyDescent="0.45">
      <c r="A13" s="14" t="s">
        <v>208</v>
      </c>
      <c r="B13" s="14" t="s">
        <v>209</v>
      </c>
      <c r="C13" s="14" t="s">
        <v>210</v>
      </c>
      <c r="D13" s="6">
        <v>500000</v>
      </c>
      <c r="E13" s="6">
        <v>70</v>
      </c>
      <c r="F13" s="6">
        <v>2.1</v>
      </c>
      <c r="G13" s="6">
        <v>80</v>
      </c>
      <c r="H13" s="6">
        <v>150</v>
      </c>
    </row>
    <row r="14" spans="1:8" x14ac:dyDescent="0.45">
      <c r="A14" s="14" t="s">
        <v>208</v>
      </c>
      <c r="B14" s="14" t="s">
        <v>211</v>
      </c>
      <c r="C14" s="14" t="s">
        <v>212</v>
      </c>
      <c r="D14" s="6">
        <v>977500</v>
      </c>
      <c r="E14" s="6">
        <v>50</v>
      </c>
      <c r="F14" s="6">
        <v>2.1</v>
      </c>
      <c r="G14" s="6">
        <v>80</v>
      </c>
      <c r="H14" s="6">
        <v>150</v>
      </c>
    </row>
    <row r="15" spans="1:8" x14ac:dyDescent="0.45">
      <c r="A15" s="14" t="s">
        <v>208</v>
      </c>
      <c r="B15" s="14" t="s">
        <v>213</v>
      </c>
      <c r="C15" s="14" t="s">
        <v>214</v>
      </c>
      <c r="D15" s="6">
        <v>750000</v>
      </c>
      <c r="E15" s="6">
        <v>224</v>
      </c>
      <c r="F15" s="6">
        <v>1.272</v>
      </c>
      <c r="G15" s="6">
        <v>80</v>
      </c>
      <c r="H15" s="6">
        <v>150</v>
      </c>
    </row>
    <row r="16" spans="1:8" x14ac:dyDescent="0.45">
      <c r="A16" s="14" t="s">
        <v>208</v>
      </c>
      <c r="B16" s="14" t="s">
        <v>215</v>
      </c>
      <c r="C16" s="14" t="s">
        <v>216</v>
      </c>
      <c r="D16" s="6">
        <v>750000</v>
      </c>
      <c r="E16" s="6">
        <v>120</v>
      </c>
      <c r="F16" s="6">
        <v>1.8</v>
      </c>
      <c r="G16" s="6">
        <v>80</v>
      </c>
      <c r="H16" s="6">
        <v>150</v>
      </c>
    </row>
    <row r="17" spans="1:8" x14ac:dyDescent="0.45">
      <c r="A17" s="14" t="s">
        <v>208</v>
      </c>
      <c r="B17" s="14" t="s">
        <v>215</v>
      </c>
      <c r="C17" s="14" t="s">
        <v>217</v>
      </c>
      <c r="D17" s="6">
        <v>450000</v>
      </c>
      <c r="E17" s="6">
        <v>200</v>
      </c>
      <c r="F17" s="6">
        <v>2.1</v>
      </c>
      <c r="G17" s="6">
        <v>80</v>
      </c>
      <c r="H17" s="6">
        <v>150</v>
      </c>
    </row>
    <row r="18" spans="1:8" x14ac:dyDescent="0.45">
      <c r="A18" s="14" t="s">
        <v>208</v>
      </c>
      <c r="B18" s="14" t="s">
        <v>215</v>
      </c>
      <c r="C18" s="14" t="s">
        <v>218</v>
      </c>
      <c r="D18" s="6">
        <v>850000</v>
      </c>
      <c r="E18" s="6">
        <v>150</v>
      </c>
      <c r="F18" s="6">
        <v>3.2</v>
      </c>
      <c r="G18" s="6">
        <v>80</v>
      </c>
      <c r="H18" s="6">
        <v>150</v>
      </c>
    </row>
    <row r="19" spans="1:8" x14ac:dyDescent="0.45">
      <c r="A19" s="14" t="s">
        <v>219</v>
      </c>
      <c r="B19" s="14" t="s">
        <v>144</v>
      </c>
      <c r="C19" s="14" t="s">
        <v>144</v>
      </c>
      <c r="D19" s="6">
        <v>500000</v>
      </c>
      <c r="E19" s="6">
        <v>8000</v>
      </c>
      <c r="F19" s="6">
        <v>2.8</v>
      </c>
      <c r="G19" s="6">
        <v>80</v>
      </c>
      <c r="H19" s="6">
        <v>100</v>
      </c>
    </row>
    <row r="20" spans="1:8" x14ac:dyDescent="0.45">
      <c r="A20" s="14" t="s">
        <v>219</v>
      </c>
      <c r="B20" s="14" t="s">
        <v>220</v>
      </c>
      <c r="C20" s="14" t="s">
        <v>221</v>
      </c>
      <c r="D20" s="6">
        <v>350000</v>
      </c>
      <c r="E20" s="6">
        <v>9000</v>
      </c>
      <c r="F20" s="6"/>
      <c r="G20" s="6">
        <v>80</v>
      </c>
      <c r="H20" s="6">
        <v>100</v>
      </c>
    </row>
    <row r="21" spans="1:8" x14ac:dyDescent="0.45">
      <c r="A21" s="14" t="s">
        <v>219</v>
      </c>
      <c r="B21" s="14" t="s">
        <v>220</v>
      </c>
      <c r="C21" s="14" t="s">
        <v>222</v>
      </c>
      <c r="D21" s="6">
        <v>300000</v>
      </c>
      <c r="E21" s="6">
        <v>9000</v>
      </c>
      <c r="F21" s="6"/>
      <c r="G21" s="6">
        <v>80</v>
      </c>
      <c r="H21" s="6">
        <v>100</v>
      </c>
    </row>
    <row r="22" spans="1:8" x14ac:dyDescent="0.45">
      <c r="A22" s="14" t="s">
        <v>219</v>
      </c>
      <c r="B22" s="14" t="s">
        <v>197</v>
      </c>
      <c r="C22" s="14" t="s">
        <v>210</v>
      </c>
      <c r="D22" s="6">
        <v>500000</v>
      </c>
      <c r="E22" s="6">
        <v>15000</v>
      </c>
      <c r="F22" s="6"/>
      <c r="G22" s="6">
        <v>80</v>
      </c>
      <c r="H22" s="6">
        <v>100</v>
      </c>
    </row>
    <row r="23" spans="1:8" x14ac:dyDescent="0.45">
      <c r="A23" s="14" t="s">
        <v>219</v>
      </c>
      <c r="B23" s="14" t="s">
        <v>197</v>
      </c>
      <c r="C23" s="14" t="s">
        <v>223</v>
      </c>
      <c r="D23" s="6">
        <v>550000</v>
      </c>
      <c r="E23" s="6">
        <v>9000</v>
      </c>
      <c r="F23" s="6"/>
      <c r="G23" s="6">
        <v>80</v>
      </c>
      <c r="H23" s="6">
        <v>100</v>
      </c>
    </row>
    <row r="24" spans="1:8" x14ac:dyDescent="0.45">
      <c r="A24" s="14" t="s">
        <v>219</v>
      </c>
      <c r="B24" s="14" t="s">
        <v>197</v>
      </c>
      <c r="C24" s="14" t="s">
        <v>224</v>
      </c>
      <c r="D24" s="6">
        <v>650000</v>
      </c>
      <c r="E24" s="6">
        <v>6000</v>
      </c>
      <c r="F24" s="6"/>
      <c r="G24" s="6">
        <v>80</v>
      </c>
      <c r="H24" s="6">
        <v>100</v>
      </c>
    </row>
    <row r="25" spans="1:8" x14ac:dyDescent="0.45">
      <c r="A25" s="14" t="s">
        <v>219</v>
      </c>
      <c r="B25" s="14" t="s">
        <v>225</v>
      </c>
      <c r="C25" s="14" t="s">
        <v>226</v>
      </c>
      <c r="D25" s="6">
        <v>90000</v>
      </c>
      <c r="E25" s="6">
        <v>5000</v>
      </c>
      <c r="F25" s="6">
        <v>2.8</v>
      </c>
      <c r="G25" s="6">
        <v>80</v>
      </c>
      <c r="H25" s="6">
        <v>100</v>
      </c>
    </row>
    <row r="26" spans="1:8" x14ac:dyDescent="0.45">
      <c r="A26" s="14" t="s">
        <v>219</v>
      </c>
      <c r="B26" s="14" t="s">
        <v>227</v>
      </c>
      <c r="C26" s="14" t="s">
        <v>228</v>
      </c>
      <c r="D26" s="6">
        <v>80000</v>
      </c>
      <c r="E26" s="6">
        <v>5700</v>
      </c>
      <c r="F26" s="6">
        <v>1</v>
      </c>
      <c r="G26" s="6">
        <v>80</v>
      </c>
      <c r="H26" s="6">
        <v>100</v>
      </c>
    </row>
    <row r="27" spans="1:8" x14ac:dyDescent="0.45">
      <c r="A27" s="14" t="s">
        <v>219</v>
      </c>
      <c r="B27" s="14" t="s">
        <v>225</v>
      </c>
      <c r="C27" s="14" t="s">
        <v>229</v>
      </c>
      <c r="D27" s="6">
        <v>80000</v>
      </c>
      <c r="E27" s="6">
        <v>6000</v>
      </c>
      <c r="F27" s="6">
        <v>1.2</v>
      </c>
      <c r="G27" s="6">
        <v>80</v>
      </c>
      <c r="H27" s="6">
        <v>100</v>
      </c>
    </row>
    <row r="28" spans="1:8" x14ac:dyDescent="0.45">
      <c r="A28" s="14" t="s">
        <v>219</v>
      </c>
      <c r="B28" s="14" t="s">
        <v>144</v>
      </c>
      <c r="C28" s="14" t="s">
        <v>230</v>
      </c>
      <c r="D28" s="6">
        <v>850000</v>
      </c>
      <c r="E28" s="6">
        <v>11000</v>
      </c>
      <c r="F28" s="6"/>
      <c r="G28" s="6">
        <v>80</v>
      </c>
      <c r="H28" s="6">
        <v>100</v>
      </c>
    </row>
    <row r="29" spans="1:8" x14ac:dyDescent="0.45">
      <c r="A29" s="14" t="s">
        <v>219</v>
      </c>
      <c r="B29" s="14" t="s">
        <v>144</v>
      </c>
      <c r="C29" s="14" t="s">
        <v>231</v>
      </c>
      <c r="D29" s="6">
        <v>700000</v>
      </c>
      <c r="E29" s="6">
        <v>10000</v>
      </c>
      <c r="F29" s="6"/>
      <c r="G29" s="6">
        <v>80</v>
      </c>
      <c r="H29" s="6">
        <v>100</v>
      </c>
    </row>
    <row r="30" spans="1:8" x14ac:dyDescent="0.45">
      <c r="A30" s="14" t="s">
        <v>219</v>
      </c>
      <c r="B30" s="14" t="s">
        <v>206</v>
      </c>
      <c r="C30" s="14" t="s">
        <v>232</v>
      </c>
      <c r="D30" s="6">
        <v>760000</v>
      </c>
      <c r="E30" s="6">
        <v>7000</v>
      </c>
      <c r="F30" s="6">
        <v>1</v>
      </c>
      <c r="G30" s="6">
        <v>80</v>
      </c>
      <c r="H30" s="6">
        <v>100</v>
      </c>
    </row>
    <row r="31" spans="1:8" x14ac:dyDescent="0.45">
      <c r="A31" s="14" t="s">
        <v>219</v>
      </c>
      <c r="B31" s="14" t="s">
        <v>206</v>
      </c>
      <c r="C31" s="14" t="s">
        <v>233</v>
      </c>
      <c r="D31" s="6">
        <v>660000</v>
      </c>
      <c r="E31" s="6">
        <v>6000</v>
      </c>
      <c r="F31" s="6">
        <v>0.8</v>
      </c>
      <c r="G31" s="6">
        <v>80</v>
      </c>
      <c r="H31" s="6">
        <v>100</v>
      </c>
    </row>
    <row r="32" spans="1:8" x14ac:dyDescent="0.45">
      <c r="A32" s="14" t="s">
        <v>234</v>
      </c>
      <c r="B32" s="14" t="s">
        <v>235</v>
      </c>
      <c r="C32" s="14" t="s">
        <v>236</v>
      </c>
      <c r="D32" s="6">
        <v>800000</v>
      </c>
      <c r="E32" s="6">
        <v>7000</v>
      </c>
      <c r="F32" s="6"/>
      <c r="G32" s="6">
        <v>100</v>
      </c>
      <c r="H32" s="6">
        <v>150</v>
      </c>
    </row>
    <row r="33" spans="1:8" x14ac:dyDescent="0.45">
      <c r="A33" s="14" t="s">
        <v>234</v>
      </c>
      <c r="B33" s="14" t="s">
        <v>235</v>
      </c>
      <c r="C33" s="14" t="s">
        <v>237</v>
      </c>
      <c r="D33" s="6">
        <v>750000</v>
      </c>
      <c r="E33" s="6">
        <v>2500</v>
      </c>
      <c r="F33" s="6"/>
      <c r="G33" s="6">
        <v>100</v>
      </c>
      <c r="H33" s="6">
        <v>150</v>
      </c>
    </row>
    <row r="34" spans="1:8" x14ac:dyDescent="0.45">
      <c r="A34" s="14" t="s">
        <v>234</v>
      </c>
      <c r="B34" s="14" t="s">
        <v>235</v>
      </c>
      <c r="C34" s="14" t="s">
        <v>238</v>
      </c>
      <c r="D34" s="6">
        <v>722891.56626506022</v>
      </c>
      <c r="E34" s="6">
        <v>18000</v>
      </c>
      <c r="F34" s="6"/>
      <c r="G34" s="6">
        <v>100</v>
      </c>
      <c r="H34" s="6">
        <v>150</v>
      </c>
    </row>
    <row r="35" spans="1:8" x14ac:dyDescent="0.45">
      <c r="A35" s="14" t="s">
        <v>234</v>
      </c>
      <c r="B35" s="14" t="s">
        <v>206</v>
      </c>
      <c r="C35" s="14" t="s">
        <v>239</v>
      </c>
      <c r="D35" s="6">
        <v>1000000</v>
      </c>
      <c r="E35" s="6">
        <v>16000</v>
      </c>
      <c r="F35" s="6"/>
      <c r="G35" s="6">
        <v>100</v>
      </c>
      <c r="H35" s="6">
        <v>150</v>
      </c>
    </row>
    <row r="36" spans="1:8" x14ac:dyDescent="0.45">
      <c r="A36" s="14" t="s">
        <v>240</v>
      </c>
      <c r="B36" s="14" t="s">
        <v>144</v>
      </c>
      <c r="C36" s="14" t="s">
        <v>241</v>
      </c>
      <c r="D36" s="6">
        <v>1000000</v>
      </c>
      <c r="E36" s="6">
        <v>18000</v>
      </c>
      <c r="F36" s="6"/>
      <c r="G36" s="6">
        <v>80</v>
      </c>
      <c r="H36" s="6">
        <v>300</v>
      </c>
    </row>
    <row r="37" spans="1:8" x14ac:dyDescent="0.45">
      <c r="A37" s="14" t="s">
        <v>240</v>
      </c>
      <c r="B37" s="14" t="s">
        <v>144</v>
      </c>
      <c r="C37" s="14" t="s">
        <v>242</v>
      </c>
      <c r="D37" s="6">
        <v>1000000</v>
      </c>
      <c r="E37" s="6">
        <v>15000</v>
      </c>
      <c r="F37" s="6"/>
      <c r="G37" s="6">
        <v>80</v>
      </c>
      <c r="H37" s="6">
        <v>300</v>
      </c>
    </row>
    <row r="38" spans="1:8" x14ac:dyDescent="0.45">
      <c r="A38" s="14" t="s">
        <v>240</v>
      </c>
      <c r="B38" s="14" t="s">
        <v>144</v>
      </c>
      <c r="C38" s="14" t="s">
        <v>231</v>
      </c>
      <c r="D38" s="6">
        <v>850000</v>
      </c>
      <c r="E38" s="6">
        <v>13000</v>
      </c>
      <c r="F38" s="6"/>
      <c r="G38" s="6">
        <v>80</v>
      </c>
      <c r="H38" s="6">
        <v>300</v>
      </c>
    </row>
    <row r="39" spans="1:8" x14ac:dyDescent="0.45">
      <c r="A39" s="14" t="s">
        <v>240</v>
      </c>
      <c r="B39" s="14" t="s">
        <v>206</v>
      </c>
      <c r="C39" s="14" t="s">
        <v>243</v>
      </c>
      <c r="D39" s="6">
        <v>1200000</v>
      </c>
      <c r="E39" s="6">
        <v>24000</v>
      </c>
      <c r="F39" s="6"/>
      <c r="G39" s="6">
        <v>80</v>
      </c>
      <c r="H39" s="6">
        <v>300</v>
      </c>
    </row>
    <row r="40" spans="1:8" x14ac:dyDescent="0.45">
      <c r="A40" s="14" t="s">
        <v>240</v>
      </c>
      <c r="B40" s="14" t="s">
        <v>206</v>
      </c>
      <c r="C40" s="14" t="s">
        <v>244</v>
      </c>
      <c r="D40" s="6">
        <v>1200000</v>
      </c>
      <c r="E40" s="6">
        <v>21000</v>
      </c>
      <c r="F40" s="6"/>
      <c r="G40" s="6">
        <v>80</v>
      </c>
      <c r="H40" s="6">
        <v>300</v>
      </c>
    </row>
    <row r="41" spans="1:8" x14ac:dyDescent="0.45">
      <c r="A41" s="14" t="s">
        <v>240</v>
      </c>
      <c r="B41" s="14" t="s">
        <v>206</v>
      </c>
      <c r="C41" s="14" t="s">
        <v>245</v>
      </c>
      <c r="D41" s="6">
        <v>1200000</v>
      </c>
      <c r="E41" s="6">
        <v>19800</v>
      </c>
      <c r="F41" s="6"/>
      <c r="G41" s="6">
        <v>80</v>
      </c>
      <c r="H41" s="6">
        <v>300</v>
      </c>
    </row>
    <row r="42" spans="1:8" x14ac:dyDescent="0.45">
      <c r="A42" s="14"/>
      <c r="B42" s="14"/>
      <c r="C42" s="14"/>
      <c r="D42" s="6"/>
      <c r="E42" s="6"/>
      <c r="F42" s="6"/>
      <c r="G42" s="6"/>
      <c r="H4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BBFF-941B-431F-9631-CFC597BC4B49}">
  <dimension ref="A3:F39"/>
  <sheetViews>
    <sheetView workbookViewId="0">
      <selection activeCell="B6" sqref="B6"/>
    </sheetView>
  </sheetViews>
  <sheetFormatPr defaultRowHeight="14.25" x14ac:dyDescent="0.45"/>
  <cols>
    <col min="1" max="1" width="16.46484375" bestFit="1" customWidth="1"/>
    <col min="2" max="2" width="37.6640625" bestFit="1" customWidth="1"/>
    <col min="3" max="3" width="13.46484375" bestFit="1" customWidth="1"/>
    <col min="4" max="4" width="17.86328125" bestFit="1" customWidth="1"/>
    <col min="5" max="5" width="18.73046875" bestFit="1" customWidth="1"/>
    <col min="6" max="6" width="16.59765625" bestFit="1" customWidth="1"/>
  </cols>
  <sheetData>
    <row r="3" spans="1:6" x14ac:dyDescent="0.45">
      <c r="A3" s="20" t="s">
        <v>1</v>
      </c>
      <c r="B3" s="21"/>
      <c r="C3" s="21"/>
      <c r="D3" s="21"/>
      <c r="E3" s="21"/>
      <c r="F3" s="21"/>
    </row>
    <row r="4" spans="1:6" x14ac:dyDescent="0.45">
      <c r="A4" s="13" t="s">
        <v>246</v>
      </c>
      <c r="B4" s="13" t="s">
        <v>247</v>
      </c>
      <c r="C4" s="13" t="s">
        <v>248</v>
      </c>
      <c r="D4" s="13" t="s">
        <v>249</v>
      </c>
      <c r="E4" s="13" t="s">
        <v>250</v>
      </c>
      <c r="F4" s="13" t="s">
        <v>7</v>
      </c>
    </row>
    <row r="5" spans="1:6" x14ac:dyDescent="0.45">
      <c r="A5" s="3" t="s">
        <v>251</v>
      </c>
      <c r="B5" s="6" t="s">
        <v>252</v>
      </c>
      <c r="C5" s="6">
        <v>800000</v>
      </c>
      <c r="D5" s="6">
        <v>12000</v>
      </c>
      <c r="E5" s="6">
        <v>150</v>
      </c>
      <c r="F5" s="6">
        <v>250</v>
      </c>
    </row>
    <row r="6" spans="1:6" x14ac:dyDescent="0.45">
      <c r="A6" s="3" t="s">
        <v>251</v>
      </c>
      <c r="B6" s="6" t="s">
        <v>253</v>
      </c>
      <c r="C6" s="6">
        <v>200000</v>
      </c>
      <c r="D6" s="6">
        <v>8000</v>
      </c>
      <c r="E6" s="6">
        <v>150</v>
      </c>
      <c r="F6" s="6">
        <v>250</v>
      </c>
    </row>
    <row r="7" spans="1:6" x14ac:dyDescent="0.45">
      <c r="A7" s="3" t="s">
        <v>251</v>
      </c>
      <c r="B7" s="6" t="s">
        <v>254</v>
      </c>
      <c r="C7" s="6">
        <v>350000</v>
      </c>
      <c r="D7" s="6">
        <v>12000</v>
      </c>
      <c r="E7" s="6">
        <v>150</v>
      </c>
      <c r="F7" s="6">
        <v>250</v>
      </c>
    </row>
    <row r="8" spans="1:6" x14ac:dyDescent="0.45">
      <c r="A8" s="3" t="s">
        <v>251</v>
      </c>
      <c r="B8" s="6" t="s">
        <v>255</v>
      </c>
      <c r="C8" s="6">
        <v>800000</v>
      </c>
      <c r="D8" s="6">
        <v>14000</v>
      </c>
      <c r="E8" s="6">
        <v>150</v>
      </c>
      <c r="F8" s="6">
        <v>250</v>
      </c>
    </row>
    <row r="9" spans="1:6" x14ac:dyDescent="0.45">
      <c r="A9" s="3" t="s">
        <v>251</v>
      </c>
      <c r="B9" s="6" t="s">
        <v>256</v>
      </c>
      <c r="C9" s="6">
        <v>400000</v>
      </c>
      <c r="D9" s="6">
        <v>10000</v>
      </c>
      <c r="E9" s="6">
        <v>150</v>
      </c>
      <c r="F9" s="6">
        <v>250</v>
      </c>
    </row>
    <row r="10" spans="1:6" x14ac:dyDescent="0.45">
      <c r="A10" s="3" t="s">
        <v>251</v>
      </c>
      <c r="B10" s="6" t="s">
        <v>257</v>
      </c>
      <c r="C10" s="6">
        <v>750000</v>
      </c>
      <c r="D10" s="6">
        <v>12000</v>
      </c>
      <c r="E10" s="6">
        <v>150</v>
      </c>
      <c r="F10" s="6">
        <v>250</v>
      </c>
    </row>
    <row r="11" spans="1:6" x14ac:dyDescent="0.45">
      <c r="A11" s="3" t="s">
        <v>251</v>
      </c>
      <c r="B11" s="6" t="s">
        <v>258</v>
      </c>
      <c r="C11" s="6">
        <v>600000</v>
      </c>
      <c r="D11" s="6">
        <v>12000</v>
      </c>
      <c r="E11" s="6">
        <v>150</v>
      </c>
      <c r="F11" s="6">
        <v>250</v>
      </c>
    </row>
    <row r="12" spans="1:6" x14ac:dyDescent="0.45">
      <c r="A12" s="3" t="s">
        <v>251</v>
      </c>
      <c r="B12" s="6" t="s">
        <v>259</v>
      </c>
      <c r="C12" s="6">
        <v>300000</v>
      </c>
      <c r="D12" s="6">
        <v>8000</v>
      </c>
      <c r="E12" s="6">
        <v>150</v>
      </c>
      <c r="F12" s="6">
        <v>250</v>
      </c>
    </row>
    <row r="13" spans="1:6" x14ac:dyDescent="0.45">
      <c r="A13" s="3" t="s">
        <v>251</v>
      </c>
      <c r="B13" s="6" t="s">
        <v>260</v>
      </c>
      <c r="C13" s="6">
        <v>800000</v>
      </c>
      <c r="D13" s="6">
        <v>15000</v>
      </c>
      <c r="E13" s="6">
        <v>150</v>
      </c>
      <c r="F13" s="6">
        <v>250</v>
      </c>
    </row>
    <row r="14" spans="1:6" x14ac:dyDescent="0.45">
      <c r="A14" s="3" t="s">
        <v>251</v>
      </c>
      <c r="B14" s="6" t="s">
        <v>261</v>
      </c>
      <c r="C14" s="6"/>
      <c r="D14" s="6"/>
      <c r="E14" s="6"/>
      <c r="F14" s="6"/>
    </row>
    <row r="15" spans="1:6" x14ac:dyDescent="0.45">
      <c r="A15" s="3" t="s">
        <v>262</v>
      </c>
      <c r="B15" s="6" t="s">
        <v>263</v>
      </c>
      <c r="C15" s="6">
        <v>120000</v>
      </c>
      <c r="D15" s="6">
        <v>5000</v>
      </c>
      <c r="E15" s="6">
        <v>20</v>
      </c>
      <c r="F15" s="6">
        <v>50</v>
      </c>
    </row>
    <row r="16" spans="1:6" x14ac:dyDescent="0.45">
      <c r="A16" s="3" t="s">
        <v>262</v>
      </c>
      <c r="B16" s="6" t="s">
        <v>264</v>
      </c>
      <c r="C16" s="6">
        <v>500000</v>
      </c>
      <c r="D16" s="6">
        <v>4000</v>
      </c>
      <c r="E16" s="6">
        <v>20</v>
      </c>
      <c r="F16" s="6">
        <v>50</v>
      </c>
    </row>
    <row r="17" spans="1:6" x14ac:dyDescent="0.45">
      <c r="A17" s="3" t="s">
        <v>262</v>
      </c>
      <c r="B17" s="6" t="s">
        <v>265</v>
      </c>
      <c r="C17" s="6">
        <v>500000</v>
      </c>
      <c r="D17" s="6">
        <v>4000</v>
      </c>
      <c r="E17" s="6">
        <v>20</v>
      </c>
      <c r="F17" s="6">
        <v>50</v>
      </c>
    </row>
    <row r="18" spans="1:6" x14ac:dyDescent="0.45">
      <c r="A18" s="3" t="s">
        <v>262</v>
      </c>
      <c r="B18" s="6" t="s">
        <v>266</v>
      </c>
      <c r="C18" s="6">
        <v>150000</v>
      </c>
      <c r="D18" s="6">
        <v>8000</v>
      </c>
      <c r="E18" s="6">
        <v>20</v>
      </c>
      <c r="F18" s="6">
        <v>50</v>
      </c>
    </row>
    <row r="19" spans="1:6" x14ac:dyDescent="0.45">
      <c r="A19" s="3" t="s">
        <v>262</v>
      </c>
      <c r="B19" s="6" t="s">
        <v>267</v>
      </c>
      <c r="C19" s="6">
        <v>100000</v>
      </c>
      <c r="D19" s="6">
        <v>8000</v>
      </c>
      <c r="E19" s="6">
        <v>20</v>
      </c>
      <c r="F19" s="6">
        <v>50</v>
      </c>
    </row>
    <row r="20" spans="1:6" x14ac:dyDescent="0.45">
      <c r="A20" s="3" t="s">
        <v>262</v>
      </c>
      <c r="B20" s="6" t="s">
        <v>268</v>
      </c>
      <c r="C20" s="7" t="s">
        <v>269</v>
      </c>
      <c r="D20" s="6">
        <v>8000</v>
      </c>
      <c r="E20" s="6">
        <v>20</v>
      </c>
      <c r="F20" s="6">
        <v>50</v>
      </c>
    </row>
    <row r="21" spans="1:6" x14ac:dyDescent="0.45">
      <c r="A21" s="3" t="s">
        <v>262</v>
      </c>
      <c r="B21" s="6" t="s">
        <v>144</v>
      </c>
      <c r="C21" s="6">
        <v>250000</v>
      </c>
      <c r="D21" s="6">
        <v>8400</v>
      </c>
      <c r="E21" s="6">
        <v>20</v>
      </c>
      <c r="F21" s="6">
        <v>50</v>
      </c>
    </row>
    <row r="22" spans="1:6" x14ac:dyDescent="0.45">
      <c r="A22" s="3" t="s">
        <v>270</v>
      </c>
      <c r="B22" s="6" t="s">
        <v>271</v>
      </c>
      <c r="C22" s="6">
        <v>250000</v>
      </c>
      <c r="D22" s="6">
        <v>5000</v>
      </c>
      <c r="E22" s="6">
        <v>50</v>
      </c>
      <c r="F22" s="6">
        <v>100</v>
      </c>
    </row>
    <row r="23" spans="1:6" x14ac:dyDescent="0.45">
      <c r="A23" s="3" t="s">
        <v>113</v>
      </c>
      <c r="B23" s="6" t="s">
        <v>272</v>
      </c>
      <c r="C23" s="6">
        <v>65000</v>
      </c>
      <c r="D23" s="6">
        <v>5000</v>
      </c>
      <c r="E23" s="6">
        <v>50</v>
      </c>
      <c r="F23" s="6">
        <v>50</v>
      </c>
    </row>
    <row r="24" spans="1:6" x14ac:dyDescent="0.45">
      <c r="A24" s="3" t="s">
        <v>113</v>
      </c>
      <c r="B24" s="6" t="s">
        <v>273</v>
      </c>
      <c r="C24" s="6">
        <v>150000</v>
      </c>
      <c r="D24" s="6">
        <v>60</v>
      </c>
      <c r="E24" s="6">
        <v>20</v>
      </c>
      <c r="F24" s="6">
        <v>50</v>
      </c>
    </row>
    <row r="25" spans="1:6" x14ac:dyDescent="0.45">
      <c r="A25" s="3" t="s">
        <v>113</v>
      </c>
      <c r="B25" s="6" t="s">
        <v>274</v>
      </c>
      <c r="C25" s="6">
        <v>450000</v>
      </c>
      <c r="D25" s="6">
        <v>120</v>
      </c>
      <c r="E25" s="6">
        <v>60</v>
      </c>
      <c r="F25" s="6">
        <v>50</v>
      </c>
    </row>
    <row r="26" spans="1:6" x14ac:dyDescent="0.45">
      <c r="A26" s="3" t="s">
        <v>113</v>
      </c>
      <c r="B26" s="6" t="s">
        <v>275</v>
      </c>
      <c r="C26" s="6">
        <v>600000</v>
      </c>
      <c r="D26" s="6">
        <v>160</v>
      </c>
      <c r="E26" s="6">
        <v>70</v>
      </c>
      <c r="F26" s="6">
        <v>50</v>
      </c>
    </row>
    <row r="27" spans="1:6" x14ac:dyDescent="0.45">
      <c r="A27" s="3" t="s">
        <v>113</v>
      </c>
      <c r="B27" s="6" t="s">
        <v>276</v>
      </c>
      <c r="C27" s="6">
        <v>450000</v>
      </c>
      <c r="D27" s="6">
        <v>140</v>
      </c>
      <c r="E27" s="6">
        <v>50</v>
      </c>
      <c r="F27" s="6">
        <v>50</v>
      </c>
    </row>
    <row r="28" spans="1:6" x14ac:dyDescent="0.45">
      <c r="A28" s="3" t="s">
        <v>113</v>
      </c>
      <c r="B28" s="6" t="s">
        <v>277</v>
      </c>
      <c r="C28" s="6">
        <v>400000</v>
      </c>
      <c r="D28" s="6">
        <v>90</v>
      </c>
      <c r="E28" s="6">
        <v>45</v>
      </c>
      <c r="F28" s="6">
        <v>50</v>
      </c>
    </row>
    <row r="29" spans="1:6" x14ac:dyDescent="0.45">
      <c r="A29" s="3" t="s">
        <v>113</v>
      </c>
      <c r="B29" s="6" t="s">
        <v>278</v>
      </c>
      <c r="C29" s="6">
        <v>90000</v>
      </c>
      <c r="D29" s="6">
        <v>90</v>
      </c>
      <c r="E29" s="6">
        <v>30</v>
      </c>
      <c r="F29" s="6">
        <v>50</v>
      </c>
    </row>
    <row r="30" spans="1:6" x14ac:dyDescent="0.45">
      <c r="A30" s="3" t="s">
        <v>113</v>
      </c>
      <c r="B30" s="6" t="s">
        <v>279</v>
      </c>
      <c r="C30" s="6">
        <v>150000</v>
      </c>
      <c r="D30" s="6">
        <v>120</v>
      </c>
      <c r="E30" s="6">
        <v>55</v>
      </c>
      <c r="F30" s="6">
        <v>50</v>
      </c>
    </row>
    <row r="31" spans="1:6" x14ac:dyDescent="0.45">
      <c r="A31" s="3" t="s">
        <v>113</v>
      </c>
      <c r="B31" s="6" t="s">
        <v>280</v>
      </c>
      <c r="C31" s="6">
        <v>100000</v>
      </c>
      <c r="D31" s="6">
        <v>80</v>
      </c>
      <c r="E31" s="6">
        <v>40</v>
      </c>
      <c r="F31" s="6">
        <v>50</v>
      </c>
    </row>
    <row r="32" spans="1:6" x14ac:dyDescent="0.45">
      <c r="A32" s="3" t="s">
        <v>113</v>
      </c>
      <c r="B32" s="6" t="s">
        <v>281</v>
      </c>
      <c r="C32" s="6">
        <v>80000</v>
      </c>
      <c r="D32" s="6">
        <v>100</v>
      </c>
      <c r="E32" s="6">
        <v>35</v>
      </c>
      <c r="F32" s="6">
        <v>50</v>
      </c>
    </row>
    <row r="33" spans="1:6" x14ac:dyDescent="0.45">
      <c r="A33" s="3" t="s">
        <v>113</v>
      </c>
      <c r="B33" s="6" t="s">
        <v>282</v>
      </c>
      <c r="C33" s="6">
        <v>30000</v>
      </c>
      <c r="D33" s="6">
        <v>50</v>
      </c>
      <c r="E33" s="6">
        <v>20</v>
      </c>
      <c r="F33" s="6">
        <v>50</v>
      </c>
    </row>
    <row r="34" spans="1:6" x14ac:dyDescent="0.45">
      <c r="A34" s="3" t="s">
        <v>283</v>
      </c>
      <c r="B34" s="6" t="s">
        <v>284</v>
      </c>
      <c r="C34" s="6">
        <v>700000</v>
      </c>
      <c r="D34" s="6">
        <v>7500</v>
      </c>
      <c r="E34" s="6">
        <v>50</v>
      </c>
      <c r="F34" s="6">
        <v>250</v>
      </c>
    </row>
    <row r="35" spans="1:6" x14ac:dyDescent="0.45">
      <c r="A35" s="3" t="s">
        <v>283</v>
      </c>
      <c r="B35" s="6" t="s">
        <v>285</v>
      </c>
      <c r="C35" s="6">
        <v>150000</v>
      </c>
      <c r="D35" s="6">
        <v>6000</v>
      </c>
      <c r="E35" s="6">
        <v>50</v>
      </c>
      <c r="F35" s="6">
        <v>250</v>
      </c>
    </row>
    <row r="36" spans="1:6" x14ac:dyDescent="0.45">
      <c r="A36" s="3" t="s">
        <v>286</v>
      </c>
      <c r="B36" s="6" t="s">
        <v>287</v>
      </c>
      <c r="C36" s="6">
        <v>600000</v>
      </c>
      <c r="D36" s="6">
        <v>120000</v>
      </c>
      <c r="E36" s="6">
        <v>50</v>
      </c>
      <c r="F36" s="6">
        <v>250</v>
      </c>
    </row>
    <row r="37" spans="1:6" x14ac:dyDescent="0.45">
      <c r="A37" s="3"/>
      <c r="B37" s="8"/>
      <c r="C37" s="6"/>
      <c r="D37" s="6"/>
      <c r="E37" s="6"/>
      <c r="F37" s="6"/>
    </row>
    <row r="38" spans="1:6" x14ac:dyDescent="0.45">
      <c r="A38" s="3"/>
      <c r="B38" s="8"/>
      <c r="C38" s="6"/>
      <c r="D38" s="6"/>
      <c r="E38" s="6"/>
      <c r="F38" s="6"/>
    </row>
    <row r="39" spans="1:6" x14ac:dyDescent="0.45">
      <c r="A39" s="3"/>
      <c r="B39" s="8"/>
      <c r="C39" s="8"/>
      <c r="D39" s="8"/>
      <c r="E39" s="8"/>
      <c r="F3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7B46-E50C-4C18-9059-3909972B2C6E}">
  <dimension ref="A3:E24"/>
  <sheetViews>
    <sheetView workbookViewId="0">
      <selection activeCell="B9" sqref="B9"/>
    </sheetView>
  </sheetViews>
  <sheetFormatPr defaultRowHeight="14.25" x14ac:dyDescent="0.45"/>
  <cols>
    <col min="1" max="1" width="29.06640625" bestFit="1" customWidth="1"/>
    <col min="2" max="2" width="26" bestFit="1" customWidth="1"/>
    <col min="4" max="4" width="13.1328125" bestFit="1" customWidth="1"/>
  </cols>
  <sheetData>
    <row r="3" spans="1:5" x14ac:dyDescent="0.45">
      <c r="A3" s="22" t="s">
        <v>1</v>
      </c>
    </row>
    <row r="4" spans="1:5" x14ac:dyDescent="0.45">
      <c r="A4" s="13" t="s">
        <v>2</v>
      </c>
      <c r="B4" s="13" t="s">
        <v>247</v>
      </c>
      <c r="C4" s="13" t="s">
        <v>288</v>
      </c>
      <c r="D4" s="13" t="s">
        <v>302</v>
      </c>
      <c r="E4" s="23"/>
    </row>
    <row r="5" spans="1:5" x14ac:dyDescent="0.45">
      <c r="A5" s="3" t="s">
        <v>289</v>
      </c>
      <c r="B5" s="3" t="s">
        <v>290</v>
      </c>
      <c r="C5" s="24">
        <v>1250</v>
      </c>
      <c r="D5" s="8">
        <f>4408061*(1+$B$24)</f>
        <v>4599811.6535</v>
      </c>
      <c r="E5" t="s">
        <v>291</v>
      </c>
    </row>
    <row r="6" spans="1:5" x14ac:dyDescent="0.45">
      <c r="A6" s="3" t="s">
        <v>289</v>
      </c>
      <c r="B6" s="3" t="s">
        <v>292</v>
      </c>
      <c r="C6" s="24">
        <v>2040</v>
      </c>
      <c r="D6" s="8">
        <f>6365010*(1+$B$24)</f>
        <v>6641887.9350000005</v>
      </c>
      <c r="E6" t="s">
        <v>291</v>
      </c>
    </row>
    <row r="7" spans="1:5" x14ac:dyDescent="0.45">
      <c r="A7" s="3" t="s">
        <v>293</v>
      </c>
      <c r="B7" s="3" t="s">
        <v>294</v>
      </c>
      <c r="C7" s="24">
        <v>2200</v>
      </c>
      <c r="D7" s="8">
        <f>297700</f>
        <v>297700</v>
      </c>
      <c r="E7" t="s">
        <v>295</v>
      </c>
    </row>
    <row r="8" spans="1:5" x14ac:dyDescent="0.45">
      <c r="A8" s="3" t="s">
        <v>296</v>
      </c>
      <c r="B8" s="3" t="s">
        <v>297</v>
      </c>
      <c r="C8" s="24">
        <v>5000</v>
      </c>
      <c r="D8" s="8">
        <f>750000</f>
        <v>750000</v>
      </c>
      <c r="E8" t="s">
        <v>298</v>
      </c>
    </row>
    <row r="9" spans="1:5" x14ac:dyDescent="0.45">
      <c r="A9" s="3" t="s">
        <v>299</v>
      </c>
      <c r="B9" s="3" t="s">
        <v>300</v>
      </c>
      <c r="C9" s="24">
        <v>1250</v>
      </c>
      <c r="D9" s="8">
        <f>60000*5*(1+$B$24)</f>
        <v>313050</v>
      </c>
      <c r="E9" t="s">
        <v>301</v>
      </c>
    </row>
    <row r="10" spans="1:5" x14ac:dyDescent="0.45">
      <c r="A10" s="3" t="s">
        <v>32</v>
      </c>
      <c r="B10" s="3"/>
      <c r="C10" s="24"/>
      <c r="D10" s="8">
        <f>SUM(D5:D9)</f>
        <v>12602449.588500001</v>
      </c>
    </row>
    <row r="13" spans="1:5" x14ac:dyDescent="0.45">
      <c r="A13" s="22" t="s">
        <v>21</v>
      </c>
      <c r="B13" s="25"/>
      <c r="C13" t="s">
        <v>22</v>
      </c>
    </row>
    <row r="14" spans="1:5" x14ac:dyDescent="0.45">
      <c r="A14" s="25"/>
      <c r="B14" s="25"/>
    </row>
    <row r="15" spans="1:5" x14ac:dyDescent="0.45">
      <c r="A15" s="5" t="s">
        <v>23</v>
      </c>
      <c r="B15" s="26">
        <v>0</v>
      </c>
    </row>
    <row r="16" spans="1:5" x14ac:dyDescent="0.45">
      <c r="A16" s="5" t="s">
        <v>24</v>
      </c>
      <c r="B16" s="26">
        <v>5.0000000000000001E-3</v>
      </c>
    </row>
    <row r="17" spans="1:2" x14ac:dyDescent="0.45">
      <c r="A17" s="5" t="s">
        <v>25</v>
      </c>
      <c r="B17" s="26">
        <v>6.9999999999999999E-4</v>
      </c>
    </row>
    <row r="18" spans="1:2" x14ac:dyDescent="0.45">
      <c r="A18" s="5" t="s">
        <v>26</v>
      </c>
      <c r="B18" s="26">
        <v>2.0000000000000001E-4</v>
      </c>
    </row>
    <row r="19" spans="1:2" x14ac:dyDescent="0.45">
      <c r="A19" s="5" t="s">
        <v>27</v>
      </c>
      <c r="B19" s="26">
        <v>8.0000000000000004E-4</v>
      </c>
    </row>
    <row r="20" spans="1:2" x14ac:dyDescent="0.45">
      <c r="A20" s="5" t="s">
        <v>28</v>
      </c>
      <c r="B20" s="26">
        <v>1.1000000000000001E-3</v>
      </c>
    </row>
    <row r="21" spans="1:2" x14ac:dyDescent="0.45">
      <c r="A21" s="5" t="s">
        <v>29</v>
      </c>
      <c r="B21" s="26">
        <v>6.9999999999999999E-4</v>
      </c>
    </row>
    <row r="22" spans="1:2" x14ac:dyDescent="0.45">
      <c r="A22" s="5" t="s">
        <v>30</v>
      </c>
      <c r="B22" s="26">
        <v>0.01</v>
      </c>
    </row>
    <row r="23" spans="1:2" x14ac:dyDescent="0.45">
      <c r="A23" s="5" t="s">
        <v>31</v>
      </c>
      <c r="B23" s="26">
        <v>2.5000000000000001E-2</v>
      </c>
    </row>
    <row r="24" spans="1:2" x14ac:dyDescent="0.45">
      <c r="A24" s="27" t="s">
        <v>32</v>
      </c>
      <c r="B24" s="2">
        <f>SUM(B15:B23)</f>
        <v>4.3500000000000004E-2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Database</vt:lpstr>
      <vt:lpstr>Rigids</vt:lpstr>
      <vt:lpstr>Flexibles</vt:lpstr>
      <vt:lpstr>Tubes</vt:lpstr>
      <vt:lpstr>Corrugates</vt:lpstr>
      <vt:lpstr>Cartons</vt:lpstr>
      <vt:lpstr>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naman.mishra</dc:creator>
  <cp:lastModifiedBy>Naman Mishra</cp:lastModifiedBy>
  <dcterms:created xsi:type="dcterms:W3CDTF">2015-06-05T18:17:20Z</dcterms:created>
  <dcterms:modified xsi:type="dcterms:W3CDTF">2026-01-23T05:55:36Z</dcterms:modified>
</cp:coreProperties>
</file>