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ackfora_Analytics\data\"/>
    </mc:Choice>
  </mc:AlternateContent>
  <xr:revisionPtr revIDLastSave="0" documentId="13_ncr:1_{D47C57C4-7D17-4417-9F91-A8059A81D71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5" r:id="rId1"/>
  </sheets>
  <externalReferences>
    <externalReference r:id="rId2"/>
  </externalReferences>
  <definedNames>
    <definedName name="L_McTypes">[1]BP_Moulds!$V$9:$V$18</definedName>
    <definedName name="L_pt_MouldMachSize">[1]PT_MouldingMachines!$I$26:$I$1030</definedName>
    <definedName name="L_pt_MouldMachSuppliers">[1]PT_MouldingMachines!$D$26:$D$155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5" l="1"/>
  <c r="G23" i="5" l="1"/>
  <c r="F23" i="5"/>
  <c r="E23" i="5"/>
  <c r="G22" i="5"/>
  <c r="F22" i="5"/>
  <c r="E22" i="5"/>
  <c r="G19" i="5"/>
  <c r="F19" i="5"/>
  <c r="E19" i="5"/>
  <c r="G18" i="5"/>
  <c r="F18" i="5"/>
  <c r="E18" i="5"/>
  <c r="G17" i="5"/>
  <c r="F17" i="5"/>
  <c r="E17" i="5"/>
  <c r="G13" i="5" l="1"/>
  <c r="F13" i="5"/>
  <c r="E13" i="5"/>
  <c r="G11" i="5" l="1"/>
  <c r="F11" i="5"/>
  <c r="E11" i="5"/>
  <c r="G27" i="5" l="1"/>
  <c r="F27" i="5"/>
  <c r="E27" i="5"/>
  <c r="G30" i="5"/>
  <c r="F30" i="5"/>
  <c r="E30" i="5"/>
  <c r="G32" i="5"/>
  <c r="F32" i="5"/>
  <c r="E32" i="5"/>
  <c r="G31" i="5"/>
  <c r="F31" i="5"/>
  <c r="E31" i="5"/>
  <c r="G21" i="5" l="1"/>
  <c r="F21" i="5"/>
  <c r="E21" i="5"/>
  <c r="K21" i="5" l="1"/>
  <c r="J21" i="5"/>
  <c r="G15" i="5"/>
  <c r="F15" i="5"/>
  <c r="E15" i="5"/>
  <c r="G33" i="5"/>
  <c r="F33" i="5"/>
  <c r="E33" i="5"/>
  <c r="G24" i="5"/>
  <c r="F24" i="5"/>
  <c r="E24" i="5"/>
  <c r="G20" i="5"/>
  <c r="F20" i="5"/>
  <c r="L15" i="5" l="1"/>
  <c r="K15" i="5"/>
  <c r="J15" i="5"/>
  <c r="L33" i="5"/>
  <c r="K33" i="5"/>
  <c r="J33" i="5"/>
  <c r="W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tc={CF90CCBA-247B-4867-A051-E54D9C5DEB47}</author>
    <author>tc={0A2AEF22-FC43-4D41-AB0E-8505CDB406CC}</author>
    <author>tc={4489F010-5D18-463D-8587-B047746CA6B1}</author>
    <author>tc={93D77A20-298D-4197-B6C8-C0A81336A5DC}</author>
    <author>tc={49E5386A-660F-4E23-B7DF-152716317882}</author>
    <author>tc={932D5135-51EC-4616-ABB8-DB4D857DA646}</author>
    <author>tc={4E719614-4F12-4E6E-B200-FD7E371B1BCE}</author>
    <author>tc={036559AE-12DD-49A0-B344-4654EC963F38}</author>
    <author>tc={8D760342-0CA1-442E-93CF-7EC6DF76B3EC}</author>
    <author>tc={2882B990-175D-4570-8B9F-47A92D92413E}</author>
    <author>tc={E6A865DA-19B9-4873-9697-7B4196782826}</author>
    <author>tc={6455A3F5-2929-413B-9890-7502EAE5FA17}</author>
    <author>tc={A170BB81-1161-4FD1-9731-F965F0DB2386}</author>
    <author>tc={D0211117-BC3E-41FF-A545-63E874C3CD95}</author>
    <author>tc={8627FA84-D4F5-4DB0-B69F-50C167129B02}</author>
    <author>tc={FA6486BF-98FC-4FF0-BB1F-4EE9C4B5B4B9}</author>
    <author>tc={8F939764-B541-4CA3-A4C8-140AA7373AC5}</author>
    <author>tc={D148F50A-ACA4-48EE-A049-239F0C886684}</author>
    <author>tc={A950ED7E-B464-4FAD-856A-68C10CF41ECA}</author>
    <author>tc={AEEC61D6-042C-41F8-9440-5FC23A978780}</author>
    <author>tc={932F5860-3E00-4E6F-B25C-1BCD76059947}</author>
    <author>tc={77E9B211-BF81-4431-BF59-478EA9F7917F}</author>
    <author>tc={B248AD42-5244-4BE6-B7D5-0515E199D76D}</author>
    <author>tc={A9330E47-EFED-4CDB-B741-F63860E8B00C}</author>
    <author>tc={92D8F444-1A5A-405D-B977-0BAF202CC4DD}</author>
    <author>tc={9459C040-D043-47CB-88B1-82423AE38D09}</author>
    <author>tc={87490920-3B7E-4E40-80F0-E8B70B20F26C}</author>
    <author>tc={9B03730E-67A2-4DF1-B4AA-3692CA7BE9C0}</author>
    <author>tc={523C446C-417A-4894-92E8-A9155A084A0A}</author>
    <author>tc={27BA6A36-CBED-4EE5-9F92-EED7264E0C23}</author>
    <author>tc={9488266D-1FC1-40F8-BB22-1DE9B9823322}</author>
    <author>tc={A0C050D0-D11A-4636-8E38-F37B664FA500}</author>
    <author>tc={4B1A381B-7BB8-4517-AC66-67627C9FF59E}</author>
    <author>tc={C6A3E0EC-39B9-4301-B808-F33DB0D7C98B}</author>
    <author>tc={81B90D7E-FE56-41AC-B942-01088EB01B9E}</author>
    <author>tc={53B12DC7-693A-4B29-BEAF-0DF3553924DF}</author>
    <author>tc={7BD16D3A-2BC1-4E61-9CF9-C4A5959C09D9}</author>
    <author>tc={FB393ECA-5CFF-44A8-9CC1-63B7C755672C}</author>
    <author>tc={6CD5F28A-38F9-42A2-8ABA-E56B2D55E1E5}</author>
    <author>tc={28E1928F-03B8-4EDD-B33C-98FAF12C2EB2}</author>
    <author>tc={C5C392D8-5F0E-4F29-B57A-579C6D2AC0DC}</author>
    <author>tc={50361CD4-3969-4CBD-A578-D876EA3FEBFC}</author>
    <author>tc={D10428C3-0E10-45BE-8951-78F2384436FB}</author>
    <author>tc={2324A634-6BAA-412F-ABE9-3424F0AC9605}</author>
    <author>tc={873C0272-B33B-4F52-9224-DD832F3FCECB}</author>
    <author>tc={7E683F41-BB93-4E31-936C-B47434E6283A}</author>
    <author>tc={966A20DE-9063-4DB2-B5DA-F27A2E403B63}</author>
    <author>tc={3B3D65D4-19A1-4AB8-84DA-B2ECD38CD7D5}</author>
    <author>tc={1B032ECD-5174-480E-A03E-3C21FACAC192}</author>
    <author>tc={657B50B3-9DA2-458A-A76D-D36DD6581622}</author>
    <author>tc={5B6405D5-0152-4F5A-8A77-DDAB5A98993F}</author>
    <author>tc={977696EA-A952-4804-B47B-504D363B0724}</author>
    <author>tc={56790839-EB03-472E-85AA-68D1BEE30D2F}</author>
    <author>tc={77BE4A71-6FBE-45C8-A82F-11BACF5D624B}</author>
    <author>tc={20C716EE-A3D1-47F1-96CE-0EA502D62A68}</author>
    <author>tc={B92C3E45-690A-4945-A8FE-55BF60FE9F6C}</author>
    <author>tc={B4BDD419-DE30-4419-A451-01BC530202B7}</author>
    <author>tc={39ABCF55-0BD7-467E-B8AC-E12448A48ED0}</author>
    <author>tc={FBE3E3EF-6F5A-4E2D-A817-9F05C27C1CE2}</author>
    <author>tc={E8FABA17-0E7B-413E-98A5-F9F888BC5616}</author>
    <author>tc={97F7614C-6604-415C-8926-5A90A40FE22C}</author>
    <author>tc={399CA588-DEC0-4E87-8D24-46078B392791}</author>
    <author>tc={F5A2FCDA-F3E0-4BE2-B1A1-29E28CA0ADB0}</author>
    <author>tc={24FD7CC9-5866-4C63-AF02-9AD75DE18D95}</author>
    <author>tc={61CAB1FB-7E1E-415D-9798-F37C4DBE9C8D}</author>
    <author>tc={9B4FC088-81BD-4337-94F6-F594A8FACF54}</author>
    <author>tc={4F94E7B8-75DB-469D-8C0A-BB5AD33F23CE}</author>
    <author>tc={14E78BFD-2BA1-4780-AC14-7E58DA1BD1C9}</author>
    <author>tc={4B788BD9-FD7A-4A81-85B3-200B343F4494}</author>
    <author>tc={A648398A-79FC-4C81-AD1D-9EC2F01C4390}</author>
    <author>tc={785CC95D-EB40-4858-8307-693F16037D27}</author>
    <author>tc={D8DF11A2-DA81-4BA7-8A92-EC7810EE947C}</author>
    <author>tc={D5252366-433A-4E86-B891-F4799126DF60}</author>
    <author>tc={A869C695-1550-44D1-97CA-5394E34B1C56}</author>
    <author>tc={21B6663A-3B87-45A1-B276-04A002E27737}</author>
    <author>tc={1793E1FF-2902-4DB8-B772-A4F817245B60}</author>
    <author>tc={B108762D-7A7B-4785-9CEB-3BB0BE2424EB}</author>
    <author>tc={49A8D834-F044-4F62-A2AA-BD86243C8F2C}</author>
    <author>tc={6887F09C-7DFE-4637-8EE6-BB55B8EBFB15}</author>
    <author>tc={409EE683-784F-47D0-B516-D912326CA5F8}</author>
    <author>tc={0F2492E8-A3F5-4664-984F-15D54781A92E}</author>
    <author>tc={8AD63BC5-0453-4BDA-930F-F37145380730}</author>
    <author>tc={7F35A756-FA88-4892-8BB0-F39553826C0F}</author>
    <author>tc={3A613504-0126-4C2E-9152-C88676E58EBF}</author>
    <author>tc={45997CC5-2F72-4637-897F-18F5F57568C8}</author>
    <author>tc={873622DB-15E5-4D97-AE75-D957485431A8}</author>
    <author>tc={6F612CF9-76AE-4D7A-BB55-5A9FD07B8BB5}</author>
    <author>tc={335F4FD4-B487-4DD3-956D-876D106FDB63}</author>
    <author>tc={26B74892-0E30-4690-BB26-31EE31813773}</author>
    <author>tc={55CD0BE7-8BC2-40ED-B8CF-5751BB1008CA}</author>
    <author>tc={B93113E9-0531-4830-B670-C857F35CBEC7}</author>
    <author>tc={C03BF05C-CEA7-4803-8AB6-A934B6CCB435}</author>
    <author>tc={46F7632A-987C-4507-AB6C-F0EA8180F60A}</author>
    <author>tc={6F50F130-ED1A-4901-94DA-94E52E23D07A}</author>
    <author>tc={5F93F0EC-7328-4817-A5FC-83EC65949BE5}</author>
    <author>tc={4C301FBD-79CF-41EA-A4D8-EED71740E0C7}</author>
    <author>tc={EA77D043-81DB-4592-A6AC-E56DD51F7129}</author>
    <author>tc={7BBCD4E9-C180-47C5-94DF-3B916CEAF14D}</author>
    <author>tc={5F87A3FD-53D9-46BE-A352-5C576907A79B}</author>
    <author>tc={E531B2F9-4567-4CB2-BCC6-90F4EC770E7A}</author>
    <author>tc={FA90F082-7FEC-4B61-A407-5BF81B76FE19}</author>
    <author>tc={D151041A-B207-4951-AD28-04B002F982DE}</author>
    <author>tc={7D90FFEC-DB50-4641-ABA7-0D69968A94A9}</author>
    <author>tc={D2239547-A65A-46E9-87AD-5CE91F2B0F80}</author>
    <author>tc={1E3AF400-8BE7-4084-B9E7-95442ACF1CAF}</author>
    <author>tc={1400BCEF-9BBB-46C8-B506-1039ED8EDA18}</author>
    <author>tc={0F039485-49B5-435A-B929-4F20234C8D0A}</author>
    <author>tc={45ED86E9-83B7-4B57-9590-6D679B0BC1E2}</author>
    <author>tc={108F9F19-4D82-431B-9291-1C5DC995B076}</author>
    <author>tc={93CA8AD0-4D9D-4526-9614-A6942881AD91}</author>
    <author>tc={28B2B2FA-8CEB-41EE-8E68-C979792F229F}</author>
    <author>tc={50133EB9-D4EE-4414-B656-45AA851BF9E1}</author>
    <author>tc={29CEB8DE-0A52-4066-AE72-30ADC70734FD}</author>
  </authors>
  <commentList>
    <comment ref="D11" authorId="0" shapeId="0" xr:uid="{CF90CCBA-247B-4867-A051-E54D9C5D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https://www.globalpetrolprices.com/Argentina/electricity_prices/</t>
      </text>
    </comment>
    <comment ref="E11" authorId="1" shapeId="0" xr:uid="{0A2AEF22-FC43-4D41-AB0E-8505CDB406C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https://www.glassdoor.co.in/Salaries/buenos-aires-machine-operator-salary-SRCH_IL.0,12_IM963_KO13,29.htm?countryRedirect=true</t>
      </text>
    </comment>
    <comment ref="F11" authorId="2" shapeId="0" xr:uid="{4489F010-5D18-463D-8587-B047746CA6B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https://www.glassdoor.co.in/Salaries/buenos-aires-manufacturing-engineer-salary-SRCH_IL.0,12_IM963_KO13,35.htm?countryRedirect=true</t>
      </text>
    </comment>
    <comment ref="G11" authorId="3" shapeId="0" xr:uid="{93D77A20-298D-4197-B6C8-C0A81336A5D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https://www.glassdoor.co.in/Salaries/argentina-production-manager-salary-SRCH_IL.0,9_IN15_KO10,28.htm?countryRedirect=true</t>
      </text>
    </comment>
    <comment ref="I11" authorId="4" shapeId="0" xr:uid="{49E5386A-660F-4E23-B7DF-15271631788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https://taxsummaries.pwc.com/argentina/corporate/deductions</t>
      </text>
    </comment>
    <comment ref="J11" authorId="5" shapeId="0" xr:uid="{932D5135-51EC-4616-ABB8-DB4D857DA64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https://www.properstar.co.uk/listing/112089102</t>
      </text>
    </comment>
    <comment ref="L11" authorId="6" shapeId="0" xr:uid="{4E719614-4F12-4E6E-B200-FD7E371B1BC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https://www.realtor.com/international/ar/av-brig-gral-juan-m-de-rosas-no-n-2969-san-martin-gran-bs-as-noroeste-buenos-aires-120089862681/</t>
      </text>
    </comment>
    <comment ref="M11" authorId="7" shapeId="0" xr:uid="{036559AE-12DD-49A0-B344-4654EC963F3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https://www.economy.com/argentina/lending-rate</t>
      </text>
    </comment>
    <comment ref="N11" authorId="8" shapeId="0" xr:uid="{8D760342-0CA1-442E-93CF-7EC6DF76B3E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https://www.economy.com/argentina/lending-rate</t>
      </text>
    </comment>
    <comment ref="D13" authorId="9" shapeId="0" xr:uid="{2882B990-175D-4570-8B9F-47A92D92413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https://www.globalpetrolprices.com/Brazil/electricity_prices/</t>
      </text>
    </comment>
    <comment ref="E13" authorId="10" shapeId="0" xr:uid="{E6A865DA-19B9-4873-9697-7B419678282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https://www.glassdoor.co.in/Salaries/brazil-in-machine-operator-salary-SRCH_IL.0,9_IC1145273_KO10,26.htm</t>
      </text>
    </comment>
    <comment ref="F13" authorId="11" shapeId="0" xr:uid="{6455A3F5-2929-413B-9890-7502EAE5FA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https://www.glassdoor.co.in/Salaries/brazil-manufacturing-engineer-salary-SRCH_IL.0,6_IN36_KO7,29.htm?countryRedirect=true
</t>
      </text>
    </comment>
    <comment ref="G13" authorId="12" shapeId="0" xr:uid="{A170BB81-1161-4FD1-9731-F965F0DB238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https://www.glassdoor.co.in/Salaries/sao-paulo-brazil-production-manager-salary-SRCH_IL.0,16_IM1009_KO17,35.htm</t>
      </text>
    </comment>
    <comment ref="H13" authorId="13" shapeId="0" xr:uid="{D0211117-BC3E-41FF-A545-63E874C3CD9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https://taxsummaries.pwc.com/brazil/corporate/deductions</t>
      </text>
    </comment>
    <comment ref="I13" authorId="14" shapeId="0" xr:uid="{8627FA84-D4F5-4DB0-B69F-50C167129B0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https://taxsummaries.pwc.com/brazil/corporate/deductions</t>
      </text>
    </comment>
    <comment ref="J13" authorId="15" shapeId="0" xr:uid="{FA6486BF-98FC-4FF0-BB1F-4EE9C4B5B4B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https://www.properstar.in/listing/110221616</t>
      </text>
    </comment>
    <comment ref="K13" authorId="16" shapeId="0" xr:uid="{8F939764-B541-4CA3-A4C8-140AA7373AC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https://www.realtor.com/international/br/rua-professor-hermes-lima-rio-de-janeiro-rio-de-janeiro-310103414185/</t>
      </text>
    </comment>
    <comment ref="L13" authorId="17" shapeId="0" xr:uid="{D148F50A-ACA4-48EE-A049-239F0C88668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properstar.co.uk/brazil/rent/building/industrial-building?afd_azwaf_tok=eyJraWQiOiJFNEEyOEJCQ0VDQTJCMUNEREEzRkU5MUJGNEIyMjJGNUNEMzcwNjZEQTgyQzczNjU0OUQxNjc1Q0Y5QjBDQUE0IiwiYWxnIjoiUlMyNTYifQ.eyJhdWQiOiJ3d3cucHJvcGVyc3Rhci5jby51ayIsImV4cCI6MTc2NDkxMzM4OCwiaWF0IjoxNzY0OTEzMzc4LCJpc3MiOiJ0aWVyMS04NWM5ZmQ0OTg4LWw3Zjg1Iiwic3ViIjoiMTAzLjE3NC4zMC43MiIsImRhdGEiOnsidHlwZSI6Imlzc3VlZCIsInJlZiI6IjIwMjUxMjA1VDA1NDI1OFotMTg1YzlmZDQ5ODhsN2Y4NWhDMUJPTWRld24wMDAwMDAwM3AwMDAwMDAwMDA4NWE4IiwiYiI6InNRUV9wWjg0VlVYVFlNeWRiWnZTVDlJVEVMS3dYREJVUm5RT0otZmF2aUUiLCJoIjoiX3RsMVBNXzFrYXR2NVJQTFVSLUh1NTkweWFSMy12d0hhY2RlVFpfTGpiMCJ9fQ.T4BUh7eZwv3bJBvIJif6S9gS_H79XMfxMNR6RBie6KWHIse9giL5D9OaAAZwgAJZlDUvBvbKaudirhiT1d6bYL4B91y0xKMAYI1phTZBh93lczEL7P4-Q9EQM5T9tyKWIiSbyuCGwWqleDNx9pLcAOX03Y-faywSV2s74Dc7fYgeJGV9Bt3GKlwQLvgy1g4nPxntrHOsLqHMY31d-KvE_FutEuPE9noY2v8k9tMwWs7I15EOHUIkt8Xq6pQcwC7D2cAtKYFr8DlT1DDvxVw2elSgvPsDzoOt76cVQ3P6JNVCxYZraJLpuvoGR9xvooBxQkGOccph552tj-x287tcMQ.WF3obl2IDtqgvMFRqVdYkD5s</t>
      </text>
    </comment>
    <comment ref="M13" authorId="18" shapeId="0" xr:uid="{A950ED7E-B464-4FAD-856A-68C10CF41EC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https://www.economy.com/brazil/lending-rate</t>
      </text>
    </comment>
    <comment ref="N13" authorId="19" shapeId="0" xr:uid="{AEEC61D6-042C-41F8-9440-5FC23A97878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https://www.economy.com/brazil/lending-rate</t>
      </text>
    </comment>
    <comment ref="D14" authorId="20" shapeId="0" xr:uid="{932F5860-3E00-4E6F-B25C-1BCD760599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https://www.globalpetrolprices.com/Canada/electricity_prices/
</t>
      </text>
    </comment>
    <comment ref="D15" authorId="21" shapeId="0" xr:uid="{77E9B211-BF81-4431-BF59-478EA9F7917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https://www.globalpetrolprices.com/China/electricity_prices/#:~:text=The%20residential%20electricity%20price%20in,0.025%200.050%200.075%200.100%200.125</t>
      </text>
    </comment>
    <comment ref="M15" authorId="22" shapeId="0" xr:uid="{B248AD42-5244-4BE6-B7D5-0515E199D76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https://www.icbc.com.cn/ICBC/EN/FinancialInformation/RMBDepositLoanRate/RMBLoanRate/</t>
      </text>
    </comment>
    <comment ref="D17" authorId="23" shapeId="0" xr:uid="{A9330E47-EFED-4CDB-B741-F63860E8B00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https://www.globalpetrolprices.com/France/electricity_prices/</t>
      </text>
    </comment>
    <comment ref="E17" authorId="24" shapeId="0" xr:uid="{92D8F444-1A5A-405D-B977-0BAF202CC4D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https://www.glassdoor.co.in/Salaries/france-machine-operator-salary-SRCH_IL.0,6_IN86_KO7,23.htm?countryRedirect=true</t>
      </text>
    </comment>
    <comment ref="F17" authorId="25" shapeId="0" xr:uid="{9459C040-D043-47CB-88B1-82423AE38D0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https://www.glassdoor.co.in/Salaries/france-manufacturing-engineer-salary-SRCH_IL.0,6_IN86_KO7,29.htm?countryRedirect=true</t>
      </text>
    </comment>
    <comment ref="G17" authorId="26" shapeId="0" xr:uid="{87490920-3B7E-4E40-80F0-E8B70B20F26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https://www.glassdoor.co.in/Salaries/paris-france-production-manager-salary-SRCH_IL.0,12_IM1080_KO13,31.htm</t>
      </text>
    </comment>
    <comment ref="M17" authorId="27" shapeId="0" xr:uid="{9B03730E-67A2-4DF1-B4AA-3692CA7BE9C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https://tradingeconomics.com/france/bank-lending-rate</t>
      </text>
    </comment>
    <comment ref="N17" authorId="28" shapeId="0" xr:uid="{523C446C-417A-4894-92E8-A9155A084A0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https://tradingeconomics.com/france/bank-lending-rate</t>
      </text>
    </comment>
    <comment ref="D18" authorId="29" shapeId="0" xr:uid="{27BA6A36-CBED-4EE5-9F92-EED7264E0C2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https://www.globalpetrolprices.com/Germany/electricity_prices/</t>
      </text>
    </comment>
    <comment ref="E18" authorId="30" shapeId="0" xr:uid="{9488266D-1FC1-40F8-BB22-1DE9B982332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https://www.glassdoor.co.in/Salaries/germany-machine-operator-salary-SRCH_IL.0,7_IN96_KO8,24.htm?countryRedirect=true</t>
      </text>
    </comment>
    <comment ref="F18" authorId="31" shapeId="0" xr:uid="{A0C050D0-D11A-4636-8E38-F37B664F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https://www.glassdoor.co.in/Salaries/germany-manufacturing-engineer-salary-SRCH_IL.0,7_IN96_KO8,30.htm?countryRedirect=true</t>
      </text>
    </comment>
    <comment ref="G18" authorId="32" shapeId="0" xr:uid="{4B1A381B-7BB8-4517-AC66-67627C9FF59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https://www.glassdoor.co.in/Salaries/germany-production-manager-salary-SRCH_IL.0,7_IN96_KO8,26.htm?countryRedirect=true</t>
      </text>
    </comment>
    <comment ref="M18" authorId="33" shapeId="0" xr:uid="{C6A3E0EC-39B9-4301-B808-F33DB0D7C98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https://tradingeconomics.com/germany/bank-lending-rate</t>
      </text>
    </comment>
    <comment ref="N18" authorId="34" shapeId="0" xr:uid="{81B90D7E-FE56-41AC-B942-01088EB01B9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https://tradingeconomics.com/germany/bank-lending-rate</t>
      </text>
    </comment>
    <comment ref="D19" authorId="35" shapeId="0" xr:uid="{53B12DC7-693A-4B29-BEAF-0DF3553924D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https://www.globalpetrolprices.com/Hungary/electricity_prices/</t>
      </text>
    </comment>
    <comment ref="E19" authorId="36" shapeId="0" xr:uid="{7BD16D3A-2BC1-4E61-9CF9-C4A5959C09D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https://www.glassdoor.ca/Salaries/hungary-machine-operator-salary-SRCH_IL.0,7_IN111_KO8,24.htm</t>
      </text>
    </comment>
    <comment ref="F19" authorId="37" shapeId="0" xr:uid="{FB393ECA-5CFF-44A8-9CC1-63B7C755672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https://www.glassdoor.co.in/Salaries/hungary-manufacturing-engineer-salary-SRCH_IL.0,7_IN111_KO8,30.htm?countryRedirect=true</t>
      </text>
    </comment>
    <comment ref="G19" authorId="38" shapeId="0" xr:uid="{6CD5F28A-38F9-42A2-8ABA-E56B2D55E1E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https://www.glassdoor.co.in/Salaries/budapest-hungary-production-manager-salary-SRCH_IL.0,16_IM1115_KO17,35.htm</t>
      </text>
    </comment>
    <comment ref="H19" authorId="39" shapeId="0" xr:uid="{28E1928F-03B8-4EDD-B33C-98FAF12C2EB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https://taxsummaries.pwc.com/hungary/corporate/deductions#:~:text=Assets%20newly%20acquired%20since%202003,be%20recognised%20for%20CIT%20purposes.</t>
      </text>
    </comment>
    <comment ref="I19" authorId="40" shapeId="0" xr:uid="{C5C392D8-5F0E-4F29-B57A-579C6D2AC0D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https://taxsummaries.pwc.com/hungary/corporate/deductions#:~:text=Assets%20newly%20acquired%20since%202003,be%20recognised%20for%20CIT%20purposes.</t>
      </text>
    </comment>
    <comment ref="M19" authorId="41" shapeId="0" xr:uid="{50361CD4-3969-4CBD-A578-D876EA3FEBF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https://tradingeconomics.com/hungary/bank-lending-rate</t>
      </text>
    </comment>
    <comment ref="N19" authorId="42" shapeId="0" xr:uid="{D10428C3-0E10-45BE-8951-78F2384436F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https://www.mbhbank.com/press-room/20251021#:~:text=Under%20the%20Sz%C3%A9chenyi%20Card%20Programme,term%20development%20of%20domestic%20businesses.</t>
      </text>
    </comment>
    <comment ref="D20" authorId="43" shapeId="0" xr:uid="{2324A634-6BAA-412F-ABE9-3424F0AC960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https://www.globalpetrolprices.com/India/electricity_prices/</t>
      </text>
    </comment>
    <comment ref="E20" authorId="44" shapeId="0" xr:uid="{873C0272-B33B-4F52-9224-DD832F3FCEC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https://www.glassdoor.co.in/Salaries/machine-operator-salary-SRCH_KO0,16.htm</t>
      </text>
    </comment>
    <comment ref="F20" authorId="45" shapeId="0" xr:uid="{7E683F41-BB93-4E31-936C-B47434E6283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https://www.glassdoor.co.in/Salaries/manufacturing-engineer-salary-SRCH_KO0,22.htm</t>
      </text>
    </comment>
    <comment ref="G20" authorId="46" shapeId="0" xr:uid="{966A20DE-9063-4DB2-B5DA-F27A2E403B6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https://www.glassdoor.co.in/Salaries/production-manager-salary-SRCH_KO0,18.htm</t>
      </text>
    </comment>
    <comment ref="D21" authorId="47" shapeId="0" xr:uid="{3B3D65D4-19A1-4AB8-84DA-B2ECD38CD7D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https://www.globalpetrolprices.com/Indonesia/electricity_prices/</t>
      </text>
    </comment>
    <comment ref="E21" authorId="48" shapeId="0" xr:uid="{1B032ECD-5174-480E-A03E-3C21FACAC19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https://www.glassdoor.co.in/Salaries/indonesia-machine-operator-salary-SRCH_IL.0,9_IN113_KO10,26.htm?countryRedirect=true</t>
      </text>
    </comment>
    <comment ref="F21" authorId="49" shapeId="0" xr:uid="{657B50B3-9DA2-458A-A76D-D36DD658162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https://www.glassdoor.co.in/Salaries/jakarta-indonesia-manufacturing-engineer-salary-SRCH_IL.0,17_IM1045_KO18,40.htm</t>
      </text>
    </comment>
    <comment ref="G21" authorId="50" shapeId="0" xr:uid="{5B6405D5-0152-4F5A-8A77-DDAB5A98993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https://www.glassdoor.co.in/Salaries/jakarta-indonesia-production-manager-salary-SRCH_IL.0,17_IM1045_KO18,36.htm</t>
      </text>
    </comment>
    <comment ref="H21" authorId="51" shapeId="0" xr:uid="{977696EA-A952-4804-B47B-504D363B072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https://taxsummaries.pwc.com/indonesia/corporate/deductions</t>
      </text>
    </comment>
    <comment ref="I21" authorId="52" shapeId="0" xr:uid="{56790839-EB03-472E-85AA-68D1BEE30D2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https://taxsummaries.pwc.com/indonesia/corporate/deductions</t>
      </text>
    </comment>
    <comment ref="J21" authorId="53" shapeId="0" xr:uid="{77BE4A71-6FBE-45C8-A82F-11BACF5D624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https://www.knightfrank.co.id/properties/commercial/for-sale/brangsong-kendal-jawa-tengah/idvlrj10071</t>
      </text>
    </comment>
    <comment ref="K21" authorId="54" shapeId="0" xr:uid="{20C716EE-A3D1-47F1-96CE-0EA502D6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https://www.rumah123.com/en/property/bekasi-bekasi/sangat-cocok-untuk-bangun-cluster-perumahan-pabrik-dan-rumah-sakit-pabrik-59-ha-harga-55jtm2-di-bekasi-utara-area-fas9749830/</t>
      </text>
    </comment>
    <comment ref="L21" authorId="55" shapeId="0" xr:uid="{B92C3E45-690A-4945-A8FE-55BF60FE9F6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https://www.rumah123.com/en/property/bandung-batujajar/pabrik-daerah-batujajarcimareme-bandung-far9766015/</t>
      </text>
    </comment>
    <comment ref="M21" authorId="56" shapeId="0" xr:uid="{B4BDD419-DE30-4419-A451-01BC530202B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https://www.bankmandiri.co.id/en/kredit-investasi1</t>
      </text>
    </comment>
    <comment ref="N21" authorId="57" shapeId="0" xr:uid="{39ABCF55-0BD7-467E-B8AC-E12448A48ED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https://www.bankmandiri.co.id/en/kredit-modal-kerja</t>
      </text>
    </comment>
    <comment ref="D22" authorId="58" shapeId="0" xr:uid="{FBE3E3EF-6F5A-4E2D-A817-9F05C27C1CE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https://www.globalpetrolprices.com/Mexico/electricity_prices/</t>
      </text>
    </comment>
    <comment ref="E22" authorId="59" shapeId="0" xr:uid="{E8FABA17-0E7B-413E-98A5-F9F888BC561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https://www.glassdoor.co.in/Salaries/m%C3%A9xico-machine-operator-salary-SRCH_IL.0,6_IS5738_KO7,23.htm</t>
      </text>
    </comment>
    <comment ref="F22" authorId="60" shapeId="0" xr:uid="{97F7614C-6604-415C-8926-5A90A40F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https://www.glassdoor.co.in/Salaries/m%C3%A9xico-manufacturing-engineer-salary-SRCH_IL.0,6_IS5738_KO7,29.htm</t>
      </text>
    </comment>
    <comment ref="G22" authorId="61" shapeId="0" xr:uid="{399CA588-DEC0-4E87-8D24-46078B39279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https://www.glassdoor.co.in/Salaries/mexico-city-mexico-production-manager-salary-SRCH_IL.0,18_IM1176_KO19,37.htm</t>
      </text>
    </comment>
    <comment ref="M22" authorId="62" shapeId="0" xr:uid="{F5A2FCDA-F3E0-4BE2-B1A1-29E28CA0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https://www.economy.com/mexico/lending-rate</t>
      </text>
    </comment>
    <comment ref="N22" authorId="63" shapeId="0" xr:uid="{24FD7CC9-5866-4C63-AF02-9AD75DE18D9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https://www.economy.com/mexico/lending-rate</t>
      </text>
    </comment>
    <comment ref="D23" authorId="64" shapeId="0" xr:uid="{61CAB1FB-7E1E-415D-9798-F37C4DBE9C8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https://www.globalpetrolprices.com/Pakistan/electricity_prices/</t>
      </text>
    </comment>
    <comment ref="E23" authorId="65" shapeId="0" xr:uid="{9B4FC088-81BD-4337-94F6-F594A8FACF5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https://www.glassdoor.co.in/Salaries/lahore-pakistan-machine-operator-salary-SRCH_IL.0,15_IM1625_KO16,32.htm</t>
      </text>
    </comment>
    <comment ref="F23" authorId="66" shapeId="0" xr:uid="{4F94E7B8-75DB-469D-8C0A-BB5AD33F23C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https://www.glassdoor.co.in/Salaries/cape-town-south-africa-manufacturing-engineer-salary-SRCH_IL.0,22_IM1026_KO23,45.htm</t>
      </text>
    </comment>
    <comment ref="G23" authorId="67" shapeId="0" xr:uid="{14E78BFD-2BA1-4780-AC14-7E58DA1BD1C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https://www.glassdoor.co.in/Salaries/lahore-pakistan-production-manager-salary-SRCH_IL.0,15_IM1625_KO16,34.htm</t>
      </text>
    </comment>
    <comment ref="H23" authorId="68" shapeId="0" xr:uid="{4B788BD9-FD7A-4A81-85B3-200B343F449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https://taxsummaries.pwc.com/pakistan/corporate/deductions</t>
      </text>
    </comment>
    <comment ref="I23" authorId="69" shapeId="0" xr:uid="{A648398A-79FC-4C81-AD1D-9EC2F01C439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https://taxsummaries.pwc.com/pakistan/corporate/deductions</t>
      </text>
    </comment>
    <comment ref="D24" authorId="70" shapeId="0" xr:uid="{785CC95D-EB40-4858-8307-693F16037D2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https://www.globalpetrolprices.com/Philippines/electricity_prices/</t>
      </text>
    </comment>
    <comment ref="E24" authorId="71" shapeId="0" xr:uid="{D8DF11A2-DA81-4BA7-8A92-EC7810EE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https://www.glassdoor.co.in/Salaries/philippines-machine-operator-salary-SRCH_IL.0,11_IN204_KO12,28.htm?countryRedirect=true</t>
      </text>
    </comment>
    <comment ref="F24" authorId="72" shapeId="0" xr:uid="{D5252366-433A-4E86-B891-F4799126DF6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https://www.glassdoor.co.in/Salaries/cebu-city-philippines-manufacturing-engineer-salary-SRCH_IL.0,21_IM1639_KO22,44.htm</t>
      </text>
    </comment>
    <comment ref="G24" authorId="73" shapeId="0" xr:uid="{A869C695-1550-44D1-97CA-5394E34B1C5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https://ph.indeed.com/career/factory-manager/salaries</t>
      </text>
    </comment>
    <comment ref="J24" authorId="74" shapeId="0" xr:uid="{21B6663A-3B87-45A1-B276-04A002E2773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https://onepropertee.com/1-000-sqm-industrial-lot-sale-baliuag-bulacan-ready-build-access-via-nlex-property</t>
      </text>
    </comment>
    <comment ref="K24" authorId="75" shapeId="0" xr:uid="{1793E1FF-2902-4DB8-B772-A4F817245B6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https://www.dotproperty.com.ph/ads/warehouse-factory-for-sale-in-malinta-metro-manila_28a58704c9c9-88a0-4b22-adad-c1a41089</t>
      </text>
    </comment>
    <comment ref="L24" authorId="76" shapeId="0" xr:uid="{B108762D-7A7B-4785-9CEB-3BB0BE2424E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https://www.dotproperty.com.ph/ads/warehouse-factory-for-rent-in-tingub-cebu_7632309acdee-5ba0-f792-1572-ddd01089</t>
      </text>
    </comment>
    <comment ref="M24" authorId="77" shapeId="0" xr:uid="{49A8D834-F044-4F62-A2AA-BD86243C8F2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https://www.pnb.com.ph/index.php/business-loans</t>
      </text>
    </comment>
    <comment ref="N24" authorId="78" shapeId="0" xr:uid="{6887F09C-7DFE-4637-8EE6-BB55B8EBFB1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https://www.securitybank.com/business/loans/business-working-capital/</t>
      </text>
    </comment>
    <comment ref="D27" authorId="79" shapeId="0" xr:uid="{409EE683-784F-47D0-B516-D912326CA5F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https://www.globalpetrolprices.com/South-Africa/electricity_prices/</t>
      </text>
    </comment>
    <comment ref="E27" authorId="80" shapeId="0" xr:uid="{0F2492E8-A3F5-4664-984F-15D54781A92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https://www.glassdoor.co.in/Salaries/johannesburg-south-africa-machine-operator-salary-SRCH_IL.0,25_IM1023_KO26,42.htm</t>
      </text>
    </comment>
    <comment ref="F27" authorId="81" shapeId="0" xr:uid="{8AD63BC5-0453-4BDA-930F-F3714538073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https://www.glassdoor.co.in/Salaries/cape-town-south-africa-manufacturing-engineer-salary-SRCH_IL.0,22_IM1026_KO23,45.htm</t>
      </text>
    </comment>
    <comment ref="G27" authorId="82" shapeId="0" xr:uid="{7F35A756-FA88-4892-8BB0-F39553826C0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https://www.glassdoor.co.in/Salaries/johannesburg-south-africa-production-manager-salary-SRCH_IL.0,25_IM1023_KO26,44.htm</t>
      </text>
    </comment>
    <comment ref="H27" authorId="83" shapeId="0" xr:uid="{3A613504-0126-4C2E-9152-C88676E58EB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https://taxsummaries.pwc.com/south-africa/corporate/deductions</t>
      </text>
    </comment>
    <comment ref="I27" authorId="84" shapeId="0" xr:uid="{45997CC5-2F72-4637-897F-18F5F57568C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https://taxsummaries.pwc.com/south-africa/corporate/deductions</t>
      </text>
    </comment>
    <comment ref="M27" authorId="85" shapeId="0" xr:uid="{873622DB-15E5-4D97-AE75-D957485431A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https://tradingeconomics.com/south-africa/lending-rate</t>
      </text>
    </comment>
    <comment ref="N27" authorId="86" shapeId="0" xr:uid="{6F612CF9-76AE-4D7A-BB55-5A9FD07B8BB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https://www.capitecbank.co.za/personal/credit/rates-and-fees/</t>
      </text>
    </comment>
    <comment ref="D30" authorId="87" shapeId="0" xr:uid="{335F4FD4-B487-4DD3-956D-876D106FDB6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https://www.globalpetrolprices.com/Turkey/electricity_prices/</t>
      </text>
    </comment>
    <comment ref="E30" authorId="88" shapeId="0" xr:uid="{26B74892-0E30-4690-BB26-31EE3181377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https://www.glassdoor.co.in/Salaries/istanbul-turkey-machine-operator-salary-SRCH_IL.0,15_IM1160_KO16,32.htm</t>
      </text>
    </comment>
    <comment ref="F30" authorId="89" shapeId="0" xr:uid="{55CD0BE7-8BC2-40ED-B8CF-5751BB1008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https://www.glassdoor.co.in/Salaries/istanbul-turkey-manufacturing-engineer-salary-SRCH_IL.0,15_IM1160_KO16,38.htm
</t>
      </text>
    </comment>
    <comment ref="G30" authorId="90" shapeId="0" xr:uid="{B93113E9-0531-4830-B670-C857F35CBEC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https://www.glassdoor.co.in/Salaries/istanbul-turkey-production-manager-salary-SRCH_IL.0,15_IM1160_KO16,34.htm</t>
      </text>
    </comment>
    <comment ref="M30" authorId="91" shapeId="0" xr:uid="{C03BF05C-CEA7-4803-8AB6-A934B6CCB43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https://www.economy.com/trkiye/lending-rate</t>
      </text>
    </comment>
    <comment ref="N30" authorId="92" shapeId="0" xr:uid="{46F7632A-987C-4507-AB6C-F0EA8180F60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https://www.economy.com/trkiye/lending-rate</t>
      </text>
    </comment>
    <comment ref="D31" authorId="93" shapeId="0" xr:uid="{6F50F130-ED1A-4901-94DA-94E52E23D07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https://www.globalpetrolprices.com/United-Kingdom/electricity_prices/</t>
      </text>
    </comment>
    <comment ref="E31" authorId="94" shapeId="0" xr:uid="{5F93F0EC-7328-4817-A5FC-83EC65949BE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https://www.glassdoor.co.uk/Salaries/machine-operator-salary-SRCH_KO0,16.htm</t>
      </text>
    </comment>
    <comment ref="F31" authorId="95" shapeId="0" xr:uid="{4C301FBD-79CF-41EA-A4D8-EED71740E0C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https://www.glassdoor.co.uk/Salaries/manufacturing-engineer-salary-SRCH_KO0,22.htm</t>
      </text>
    </comment>
    <comment ref="G31" authorId="96" shapeId="0" xr:uid="{EA77D043-81DB-4592-A6AC-E56DD51F712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https://www.glassdoor.co.uk/Salaries/production-manager-salary-SRCH_KO0,18.htm</t>
      </text>
    </comment>
    <comment ref="H31" authorId="97" shapeId="0" xr:uid="{7BBCD4E9-C180-47C5-94DF-3B916CEAF14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https://taxsummaries.pwc.com/united-kingdom/corporate/deductions</t>
      </text>
    </comment>
    <comment ref="I31" authorId="98" shapeId="0" xr:uid="{5F87A3FD-53D9-46BE-A352-5C576907A79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https://taxsummaries.pwc.com/united-kingdom/corporate/deductions</t>
      </text>
    </comment>
    <comment ref="M31" authorId="99" shapeId="0" xr:uid="{E531B2F9-4567-4CB2-BCC6-90F4EC770E7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https://www.lloydsbank.com/business/business-loans.html</t>
      </text>
    </comment>
    <comment ref="N31" authorId="100" shapeId="0" xr:uid="{FA90F082-7FEC-4B61-A407-5BF81B76FE1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https://www.business.hsbc.uk/en-gb/products/small-business-loan?utm_</t>
      </text>
    </comment>
    <comment ref="D32" authorId="101" shapeId="0" xr:uid="{D151041A-B207-4951-AD28-04B002F982D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https://www.globalpetrolprices.com/USA/electricity_prices/</t>
      </text>
    </comment>
    <comment ref="E32" authorId="102" shapeId="0" xr:uid="{7D90FFEC-DB50-4641-ABA7-0D69968A94A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https://www.indeed.com/career/machine-operator/salaries</t>
      </text>
    </comment>
    <comment ref="F32" authorId="103" shapeId="0" xr:uid="{D2239547-A65A-46E9-87AD-5CE91F2B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https://www.indeed.com/career/manufacturing-engineer/salaries</t>
      </text>
    </comment>
    <comment ref="G32" authorId="104" shapeId="0" xr:uid="{1E3AF400-8BE7-4084-B9E7-95442ACF1CA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https://www.indeed.com/career/production-manager/salaries</t>
      </text>
    </comment>
    <comment ref="M32" authorId="105" shapeId="0" xr:uid="{1400BCEF-9BBB-46C8-B506-1039ED8EDA1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https://www.economy.com/united-states/lending-rate</t>
      </text>
    </comment>
    <comment ref="N32" authorId="106" shapeId="0" xr:uid="{0F039485-49B5-435A-B929-4F20234C8D0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https://www.economy.com/united-states/lending-rate</t>
      </text>
    </comment>
    <comment ref="D33" authorId="107" shapeId="0" xr:uid="{45ED86E9-83B7-4B57-9590-6D679B0BC1E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https://en.evn.com.vn/d/en-US/news/WHOLESALE-ELECTRICITY-TARIFF-Decision-No-1279QD-BCT-dated-9-May-2025-of-Ministry-of-Industry-and-Trade-60-28-260</t>
      </text>
    </comment>
    <comment ref="E33" authorId="108" shapeId="0" xr:uid="{108F9F19-4D82-431B-9291-1C5DC995B07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https://www.glassdoor.co.in/Salaries/vietnam-machine-operator-salary-SRCH_IL.0,7_IN251_KO8,24.htm?countryRedirect=true</t>
      </text>
    </comment>
    <comment ref="F33" authorId="109" shapeId="0" xr:uid="{93CA8AD0-4D9D-4526-9614-A6942881AD9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https://www.glassdoor.co.in/Salaries/ho-chi-minh-vietnam-manufacturing-engineer-salary-SRCH_IL.0,19_IM1746_KO20,42.htm</t>
      </text>
    </comment>
    <comment ref="G33" authorId="110" shapeId="0" xr:uid="{28B2B2FA-8CEB-41EE-8E68-C979792F229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https://www.erieri.com/salary/job/manufacturing-manager/vietnam</t>
      </text>
    </comment>
    <comment ref="M33" authorId="111" shapeId="0" xr:uid="{50133EB9-D4EE-4414-B656-45AA851BF9E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https://www.vietcombank.com.vn/en/Personal/Truy-cap-nhanh/Tin-noi-bat/Articles/2025/04/24/Vay-san-xuat-kinh-doanh</t>
      </text>
    </comment>
    <comment ref="N33" authorId="112" shapeId="0" xr:uid="{29CEB8DE-0A52-4066-AE72-30ADC70734F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https://www.vietcombank.com.vn/en/Personal/Truy-cap-nhanh/KHCN---Danh-sach-uu-dai/KHCN---Khach-hang-ca-nhan-vay-von-160000-ty</t>
      </text>
    </comment>
  </commentList>
</comments>
</file>

<file path=xl/sharedStrings.xml><?xml version="1.0" encoding="utf-8"?>
<sst xmlns="http://schemas.openxmlformats.org/spreadsheetml/2006/main" count="117" uniqueCount="96">
  <si>
    <t>Country</t>
  </si>
  <si>
    <t>United Kingdom</t>
  </si>
  <si>
    <t>Argentina</t>
  </si>
  <si>
    <t>Brazil</t>
  </si>
  <si>
    <t>China</t>
  </si>
  <si>
    <t>United States</t>
  </si>
  <si>
    <t>Indonesia</t>
  </si>
  <si>
    <t>Turkey</t>
  </si>
  <si>
    <t>Pakistan</t>
  </si>
  <si>
    <t>Vietnam</t>
  </si>
  <si>
    <t>Germany</t>
  </si>
  <si>
    <t>Hungary</t>
  </si>
  <si>
    <t>France</t>
  </si>
  <si>
    <t>South Africa</t>
  </si>
  <si>
    <t>Mexico</t>
  </si>
  <si>
    <t>India</t>
  </si>
  <si>
    <t>Labour Annual salaries (CTC)</t>
  </si>
  <si>
    <t>Utilities</t>
  </si>
  <si>
    <t>Rates</t>
  </si>
  <si>
    <t>Currency</t>
  </si>
  <si>
    <t>Currency Symbol</t>
  </si>
  <si>
    <t>Manager</t>
  </si>
  <si>
    <t>Supervisor</t>
  </si>
  <si>
    <t>Operator</t>
  </si>
  <si>
    <t>Electricity Rate (per kWh)</t>
  </si>
  <si>
    <t>Borrowing rate (%)</t>
  </si>
  <si>
    <t>Exchange rate with Euro</t>
  </si>
  <si>
    <t>Argentinian Pesos</t>
  </si>
  <si>
    <t>ARS</t>
  </si>
  <si>
    <t xml:space="preserve">Euros </t>
  </si>
  <si>
    <t>EUR</t>
  </si>
  <si>
    <t>Bangladesh</t>
  </si>
  <si>
    <t>Bangladeshi Taka</t>
  </si>
  <si>
    <t>BDT</t>
  </si>
  <si>
    <t>U.S. Dollars</t>
  </si>
  <si>
    <t>Brazilian Reals</t>
  </si>
  <si>
    <t>BRL</t>
  </si>
  <si>
    <t>Canada</t>
  </si>
  <si>
    <t>CAD</t>
  </si>
  <si>
    <t>Chinese Yuan</t>
  </si>
  <si>
    <t>CNY</t>
  </si>
  <si>
    <t>Costa Rica</t>
  </si>
  <si>
    <t>CRC</t>
  </si>
  <si>
    <t>USD</t>
  </si>
  <si>
    <t>Hungarian Forints</t>
  </si>
  <si>
    <t>HUF</t>
  </si>
  <si>
    <t>Indian Rupees</t>
  </si>
  <si>
    <t>INR</t>
  </si>
  <si>
    <t>Indonesian Rupiah</t>
  </si>
  <si>
    <t>IDR</t>
  </si>
  <si>
    <t>Mexican Pesos</t>
  </si>
  <si>
    <t>MXN</t>
  </si>
  <si>
    <t>Pakistani Rupees</t>
  </si>
  <si>
    <t>PKR</t>
  </si>
  <si>
    <t>Philippines</t>
  </si>
  <si>
    <t>Philippines Pesos</t>
  </si>
  <si>
    <t>PHP</t>
  </si>
  <si>
    <t>Poland</t>
  </si>
  <si>
    <t>PLN</t>
  </si>
  <si>
    <t>South African Rand</t>
  </si>
  <si>
    <t>ZAR</t>
  </si>
  <si>
    <t>Spain</t>
  </si>
  <si>
    <t>Sri Lanka</t>
  </si>
  <si>
    <t>Sri Lankan Rupee</t>
  </si>
  <si>
    <t>LKR</t>
  </si>
  <si>
    <t>Thailand</t>
  </si>
  <si>
    <t>Thai Baht</t>
  </si>
  <si>
    <t>THB</t>
  </si>
  <si>
    <t>Turkish Lira</t>
  </si>
  <si>
    <t>TRY</t>
  </si>
  <si>
    <t>British Pounds</t>
  </si>
  <si>
    <t>GBP</t>
  </si>
  <si>
    <t>Vietnamese Dong</t>
  </si>
  <si>
    <t>VND</t>
  </si>
  <si>
    <t>Exchange rate with USD</t>
  </si>
  <si>
    <t>Land Cost per Sq Mt</t>
  </si>
  <si>
    <t>Building Cost per Sq Mt</t>
  </si>
  <si>
    <t>Lease Cost per Sq Mt</t>
  </si>
  <si>
    <t>KM</t>
  </si>
  <si>
    <t>Manpower Cost</t>
  </si>
  <si>
    <t>Production Manager</t>
  </si>
  <si>
    <t>Land Cost</t>
  </si>
  <si>
    <t>Building Cost</t>
  </si>
  <si>
    <t>Lease Cost</t>
  </si>
  <si>
    <t>Interest on Long Term Loan</t>
  </si>
  <si>
    <t>Interest on Working Capital</t>
  </si>
  <si>
    <t>kWH</t>
  </si>
  <si>
    <t>per sqm</t>
  </si>
  <si>
    <t>Depreciation on P&amp;M</t>
  </si>
  <si>
    <t>Depreciation on Building</t>
  </si>
  <si>
    <t>Canadian Dollar</t>
  </si>
  <si>
    <t>Polish zloty</t>
  </si>
  <si>
    <t>Costa Rican Colón</t>
  </si>
  <si>
    <t>Electricity Rate</t>
  </si>
  <si>
    <t>Machine Operator</t>
  </si>
  <si>
    <t>Production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</si>
</sst>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%"/>
    <numFmt numFmtId="166" formatCode="_ * #,##0.0_ ;_ * \-#,##0.0_ ;_ * &quot;-&quot;??_ ;_ @_ "/>
    <numFmt numFmtId="167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Unilever DIN Offc Pro"/>
      <family val="2"/>
    </font>
    <font>
      <b/>
      <u/>
      <sz val="11"/>
      <color theme="1"/>
      <name val="Calibri"/>
      <family val="2"/>
      <charset val="204"/>
      <scheme val="minor"/>
    </font>
    <font>
      <b/>
      <u/>
      <sz val="11"/>
      <color theme="1"/>
      <name val="Unilever DIN Offc Pro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3" borderId="2" xfId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6" fontId="0" fillId="0" borderId="0" xfId="1" applyNumberFormat="1" applyFont="1"/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wrapText="1"/>
    </xf>
    <xf numFmtId="167" fontId="0" fillId="0" borderId="1" xfId="0" applyNumberFormat="1" applyBorder="1"/>
    <xf numFmtId="166" fontId="0" fillId="0" borderId="1" xfId="1" applyNumberFormat="1" applyFont="1" applyBorder="1"/>
    <xf numFmtId="165" fontId="0" fillId="0" borderId="1" xfId="2" applyNumberFormat="1" applyFont="1" applyBorder="1"/>
    <xf numFmtId="166" fontId="0" fillId="0" borderId="1" xfId="1" applyNumberFormat="1" applyFont="1" applyFill="1" applyBorder="1"/>
    <xf numFmtId="9" fontId="0" fillId="0" borderId="1" xfId="2" applyFont="1" applyBorder="1"/>
    <xf numFmtId="9" fontId="6" fillId="0" borderId="1" xfId="2" applyFont="1" applyBorder="1"/>
    <xf numFmtId="4" fontId="0" fillId="0" borderId="0" xfId="0" applyNumberFormat="1"/>
    <xf numFmtId="165" fontId="0" fillId="0" borderId="0" xfId="2" applyNumberFormat="1" applyFont="1" applyFill="1" applyBorder="1"/>
    <xf numFmtId="165" fontId="0" fillId="0" borderId="6" xfId="2" applyNumberFormat="1" applyFont="1" applyFill="1" applyBorder="1"/>
    <xf numFmtId="167" fontId="0" fillId="0" borderId="1" xfId="1" applyNumberFormat="1" applyFont="1" applyBorder="1"/>
    <xf numFmtId="166" fontId="0" fillId="0" borderId="0" xfId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6" fontId="2" fillId="6" borderId="0" xfId="1" applyNumberFormat="1" applyFont="1" applyFill="1" applyAlignment="1">
      <alignment horizontal="center"/>
    </xf>
  </cellXfs>
  <cellStyles count="4">
    <cellStyle name="Comma" xfId="1" builtinId="3"/>
    <cellStyle name="Comma 4" xfId="3" xr:uid="{B8148B7D-FD55-4E94-A1C9-6224C294CF79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ckforallp-my.sharepoint.com/personal/manish_kale_unilever_com/Documents/Manish/PT/Rigids/Mani%20Maruvada/Deo%20Sticks%20-%20USA%20Plastek/Cost%20Model%20Rigid%20Plastics%20SP%202019%20V7-1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taManagement"/>
      <sheetName val="BasicModel"/>
      <sheetName val="DetailedModel"/>
      <sheetName val="Labour Defaults"/>
      <sheetName val="Depreciation"/>
      <sheetName val="T_Plastics"/>
      <sheetName val="L_Defaults"/>
      <sheetName val="L_Lists"/>
      <sheetName val="RFQ"/>
      <sheetName val="SumBrief"/>
      <sheetName val="SumFull"/>
      <sheetName val="DetailedSummary"/>
      <sheetName val="Scenarios"/>
      <sheetName val="S_ConversionCost"/>
      <sheetName val="S_Margin"/>
      <sheetName val="S_Weight"/>
      <sheetName val="S_Quantity"/>
      <sheetName val="S_PolymerPrice"/>
      <sheetName val="S_CycleTime"/>
      <sheetName val="S_Country"/>
      <sheetName val="S_Compare"/>
      <sheetName val="S_Sourcing"/>
      <sheetName val="S_RFQData"/>
      <sheetName val="Admin"/>
      <sheetName val="L_Misc"/>
      <sheetName val="Names"/>
      <sheetName val="Styles"/>
      <sheetName val="ProcessSelection"/>
      <sheetName val="FeedTable"/>
      <sheetName val="Pivots"/>
      <sheetName val="CT"/>
      <sheetName val="RegionMap_PricePolymer"/>
      <sheetName val="BP_CountryData_PricePolymer"/>
      <sheetName val="tblCountryMap"/>
      <sheetName val="BP_CountryData"/>
      <sheetName val="BP_MouldingMachines"/>
      <sheetName val="PT_MouldingMachines"/>
      <sheetName val="L_MouldingMachine_Index1"/>
      <sheetName val="L_MouldingMachine_Index2"/>
      <sheetName val="BP_PlasticsSuppliers"/>
      <sheetName val="BP_Moulds"/>
      <sheetName val="DB_Polymers"/>
      <sheetName val="BridgeTables"/>
      <sheetName val="BridgeFieldsAll"/>
      <sheetName val="DB_Download"/>
      <sheetName val="DB_Filtered"/>
      <sheetName val="DB_PricePolymerLatest"/>
      <sheetName val="Mapping"/>
      <sheetName val="DB_CountryMarket"/>
      <sheetName val="DB_PriceFS"/>
      <sheetName val="DB_Inks"/>
      <sheetName val="DB_MaterialProperties"/>
      <sheetName val="DB_Transport"/>
      <sheetName val="TempData"/>
      <sheetName val="L_Calc_Cavity"/>
      <sheetName val="L_Calc"/>
      <sheetName val="Tx_Mach"/>
      <sheetName val="Tx_Inj"/>
      <sheetName val="Tx_Blow"/>
      <sheetName val="Tx_Bottles"/>
      <sheetName val="Tx_Closures"/>
      <sheetName val="SP List Control"/>
      <sheetName val="SP_Countries"/>
      <sheetName val="SP_InterestRates"/>
      <sheetName val="SP_PriceUtility"/>
      <sheetName val="SP_PriceOperating"/>
      <sheetName val="SP_PriceFS"/>
      <sheetName val="SP_ExchangeRate"/>
      <sheetName val="SP_ExchangeRateAll"/>
      <sheetName val="SP_PricePolymer"/>
      <sheetName val="SP_PricePolymer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26">
          <cell r="D26" t="str">
            <v>MachineSupplier</v>
          </cell>
          <cell r="I26" t="str">
            <v>Large</v>
          </cell>
        </row>
        <row r="27">
          <cell r="D27" t="str">
            <v>Akei</v>
          </cell>
          <cell r="I27" t="str">
            <v>Medium</v>
          </cell>
        </row>
        <row r="28">
          <cell r="D28" t="str">
            <v>Automa</v>
          </cell>
          <cell r="I28" t="str">
            <v>Small</v>
          </cell>
        </row>
        <row r="29">
          <cell r="D29" t="str">
            <v>B&amp;W</v>
          </cell>
          <cell r="I29" t="str">
            <v>AE-590-TS - MONO</v>
          </cell>
        </row>
        <row r="30">
          <cell r="D30" t="str">
            <v>Battenfeld Fisher</v>
          </cell>
          <cell r="I30" t="str">
            <v>AE-700-TS</v>
          </cell>
        </row>
        <row r="31">
          <cell r="D31" t="str">
            <v>BC-3</v>
          </cell>
          <cell r="I31" t="str">
            <v>AE-700-TS - MONO</v>
          </cell>
        </row>
        <row r="32">
          <cell r="D32" t="str">
            <v>BDS8</v>
          </cell>
          <cell r="I32" t="str">
            <v>AE-70-TS Double</v>
          </cell>
        </row>
        <row r="33">
          <cell r="D33" t="str">
            <v>Bekum</v>
          </cell>
          <cell r="I33" t="str">
            <v>AE-900-TS - MONO</v>
          </cell>
        </row>
        <row r="34">
          <cell r="D34" t="str">
            <v>COMEC</v>
          </cell>
          <cell r="I34" t="str">
            <v>AO -50SN-TS Double</v>
          </cell>
        </row>
        <row r="35">
          <cell r="D35" t="str">
            <v>Fischer Muller</v>
          </cell>
          <cell r="I35" t="str">
            <v>AO-70SN-TS Double</v>
          </cell>
        </row>
        <row r="36">
          <cell r="D36" t="str">
            <v>Hesta</v>
          </cell>
          <cell r="I36" t="str">
            <v>Large</v>
          </cell>
        </row>
        <row r="37">
          <cell r="D37" t="str">
            <v>Kai Mei</v>
          </cell>
          <cell r="I37" t="str">
            <v>Lin 9011-TS Double</v>
          </cell>
        </row>
        <row r="38">
          <cell r="D38" t="str">
            <v>Kautex (Krupp Kautex)</v>
          </cell>
          <cell r="I38" t="str">
            <v>Lin-100-TS Double</v>
          </cell>
        </row>
        <row r="39">
          <cell r="D39" t="str">
            <v>Krupp Chen</v>
          </cell>
          <cell r="I39" t="str">
            <v>Lin-90-TS Double</v>
          </cell>
        </row>
        <row r="40">
          <cell r="D40" t="str">
            <v>MachineSupplier</v>
          </cell>
          <cell r="I40" t="str">
            <v>Medium</v>
          </cell>
        </row>
        <row r="41">
          <cell r="D41" t="str">
            <v>Magic</v>
          </cell>
          <cell r="I41" t="str">
            <v>Small</v>
          </cell>
        </row>
        <row r="42">
          <cell r="D42" t="str">
            <v>Owens Brockway</v>
          </cell>
          <cell r="I42" t="str">
            <v>Apex At 300DE Double</v>
          </cell>
        </row>
        <row r="43">
          <cell r="D43" t="str">
            <v>Seriomac</v>
          </cell>
          <cell r="I43" t="str">
            <v>Apex AT 450D Double</v>
          </cell>
        </row>
        <row r="44">
          <cell r="D44" t="str">
            <v>SIG</v>
          </cell>
          <cell r="I44" t="str">
            <v>APEX AT 700D Double</v>
          </cell>
        </row>
        <row r="45">
          <cell r="D45" t="str">
            <v>Silgan</v>
          </cell>
          <cell r="I45" t="str">
            <v>AT 10 Single</v>
          </cell>
        </row>
        <row r="46">
          <cell r="D46" t="str">
            <v>SMC</v>
          </cell>
          <cell r="I46" t="str">
            <v>AT 255D Double</v>
          </cell>
        </row>
        <row r="47">
          <cell r="D47" t="str">
            <v>Soplar</v>
          </cell>
          <cell r="I47" t="str">
            <v>AT 2DS Double</v>
          </cell>
        </row>
        <row r="48">
          <cell r="D48" t="str">
            <v>Tahara Mach.</v>
          </cell>
          <cell r="I48" t="str">
            <v>AT 2MS Single</v>
          </cell>
        </row>
        <row r="49">
          <cell r="D49" t="str">
            <v>Techne</v>
          </cell>
          <cell r="I49" t="str">
            <v>AT 5 Single</v>
          </cell>
        </row>
        <row r="50">
          <cell r="D50" t="str">
            <v>Uniloy</v>
          </cell>
          <cell r="I50" t="str">
            <v>AT5DL Double</v>
          </cell>
        </row>
        <row r="51">
          <cell r="D51" t="str">
            <v>Yoshino</v>
          </cell>
          <cell r="I51" t="str">
            <v>Large</v>
          </cell>
        </row>
        <row r="52">
          <cell r="D52" t="str">
            <v>Akei</v>
          </cell>
          <cell r="I52" t="str">
            <v>Medium</v>
          </cell>
        </row>
        <row r="53">
          <cell r="D53" t="str">
            <v>Automa</v>
          </cell>
          <cell r="I53" t="str">
            <v>Small</v>
          </cell>
        </row>
        <row r="54">
          <cell r="D54" t="str">
            <v>B&amp;W</v>
          </cell>
          <cell r="I54" t="str">
            <v>Large</v>
          </cell>
        </row>
        <row r="55">
          <cell r="D55" t="str">
            <v>Battenfeld Fisher</v>
          </cell>
          <cell r="I55" t="str">
            <v>Medium</v>
          </cell>
        </row>
        <row r="56">
          <cell r="D56" t="str">
            <v>BC-3</v>
          </cell>
          <cell r="I56" t="str">
            <v>Small</v>
          </cell>
        </row>
        <row r="57">
          <cell r="D57" t="str">
            <v>BDS8</v>
          </cell>
          <cell r="I57" t="str">
            <v>Large</v>
          </cell>
        </row>
        <row r="58">
          <cell r="D58" t="str">
            <v>Bekum</v>
          </cell>
          <cell r="I58" t="str">
            <v>Medium</v>
          </cell>
        </row>
        <row r="59">
          <cell r="D59" t="str">
            <v>COMEC</v>
          </cell>
          <cell r="I59" t="str">
            <v>Small</v>
          </cell>
        </row>
        <row r="60">
          <cell r="D60" t="str">
            <v>Fischer Muller</v>
          </cell>
          <cell r="I60" t="str">
            <v>Large</v>
          </cell>
        </row>
        <row r="61">
          <cell r="D61" t="str">
            <v>Hesta</v>
          </cell>
          <cell r="I61" t="str">
            <v>Medium</v>
          </cell>
        </row>
        <row r="62">
          <cell r="D62" t="str">
            <v>Kai Mei</v>
          </cell>
          <cell r="I62" t="str">
            <v>Small</v>
          </cell>
        </row>
        <row r="63">
          <cell r="D63" t="str">
            <v>Kautex (Krupp Kautex)</v>
          </cell>
          <cell r="I63" t="str">
            <v>Large</v>
          </cell>
        </row>
        <row r="64">
          <cell r="D64" t="str">
            <v>Krupp Chen</v>
          </cell>
          <cell r="I64" t="str">
            <v>Medium</v>
          </cell>
        </row>
        <row r="65">
          <cell r="D65" t="str">
            <v>MachineSupplier</v>
          </cell>
          <cell r="I65" t="str">
            <v>Small</v>
          </cell>
        </row>
        <row r="66">
          <cell r="D66" t="str">
            <v>Magic</v>
          </cell>
          <cell r="I66" t="str">
            <v>BM 506/D</v>
          </cell>
        </row>
        <row r="67">
          <cell r="D67" t="str">
            <v>Owens Brockway</v>
          </cell>
          <cell r="I67" t="str">
            <v>BM 706/D</v>
          </cell>
        </row>
        <row r="68">
          <cell r="D68" t="str">
            <v>Seriomac</v>
          </cell>
          <cell r="I68" t="str">
            <v>BM 806/D</v>
          </cell>
        </row>
        <row r="69">
          <cell r="D69" t="str">
            <v>SIG</v>
          </cell>
          <cell r="I69" t="str">
            <v>BM 906/D</v>
          </cell>
        </row>
        <row r="70">
          <cell r="D70" t="str">
            <v>Silgan</v>
          </cell>
          <cell r="I70" t="str">
            <v>Large</v>
          </cell>
        </row>
        <row r="71">
          <cell r="D71" t="str">
            <v>SMC</v>
          </cell>
          <cell r="I71" t="str">
            <v>Medium</v>
          </cell>
        </row>
        <row r="72">
          <cell r="D72" t="str">
            <v>Soplar</v>
          </cell>
          <cell r="I72" t="str">
            <v>Small</v>
          </cell>
        </row>
        <row r="73">
          <cell r="D73" t="str">
            <v>Tahara Mach.</v>
          </cell>
          <cell r="I73" t="str">
            <v>Large</v>
          </cell>
        </row>
        <row r="74">
          <cell r="D74" t="str">
            <v>Techne</v>
          </cell>
          <cell r="I74" t="str">
            <v>Medium</v>
          </cell>
        </row>
        <row r="75">
          <cell r="D75" t="str">
            <v>Uniloy</v>
          </cell>
          <cell r="I75" t="str">
            <v>Small</v>
          </cell>
        </row>
        <row r="76">
          <cell r="D76" t="str">
            <v>Yoshino</v>
          </cell>
          <cell r="I76" t="str">
            <v>Large</v>
          </cell>
        </row>
        <row r="77">
          <cell r="D77" t="str">
            <v>Graham Machinery Group (GMG)</v>
          </cell>
          <cell r="I77" t="str">
            <v>Medium</v>
          </cell>
        </row>
        <row r="78">
          <cell r="D78" t="str">
            <v>MachineSupplier</v>
          </cell>
          <cell r="I78" t="str">
            <v>Small</v>
          </cell>
        </row>
        <row r="79">
          <cell r="D79" t="str">
            <v>Wilmington</v>
          </cell>
          <cell r="I79" t="str">
            <v>Large</v>
          </cell>
        </row>
        <row r="80">
          <cell r="D80" t="str">
            <v>Graham Machinery Group (GMG)</v>
          </cell>
          <cell r="I80" t="str">
            <v>Medium</v>
          </cell>
        </row>
        <row r="81">
          <cell r="D81" t="str">
            <v>MachineSupplier</v>
          </cell>
          <cell r="I81" t="str">
            <v>Small</v>
          </cell>
        </row>
        <row r="82">
          <cell r="D82" t="str">
            <v>Jomar</v>
          </cell>
          <cell r="I82" t="str">
            <v>Large</v>
          </cell>
        </row>
        <row r="83">
          <cell r="D83" t="str">
            <v>MachineSupplier</v>
          </cell>
          <cell r="I83" t="str">
            <v>Medium</v>
          </cell>
        </row>
        <row r="84">
          <cell r="D84" t="str">
            <v>Ossberger</v>
          </cell>
          <cell r="I84" t="str">
            <v>Small</v>
          </cell>
        </row>
        <row r="85">
          <cell r="D85" t="str">
            <v>Procrea</v>
          </cell>
          <cell r="I85" t="str">
            <v>Large</v>
          </cell>
        </row>
        <row r="86">
          <cell r="D86" t="str">
            <v>Rainville</v>
          </cell>
          <cell r="I86" t="str">
            <v>Medium</v>
          </cell>
        </row>
        <row r="87">
          <cell r="D87" t="str">
            <v>SMC</v>
          </cell>
          <cell r="I87" t="str">
            <v>Small</v>
          </cell>
        </row>
        <row r="88">
          <cell r="D88" t="str">
            <v>Uniloy</v>
          </cell>
          <cell r="I88" t="str">
            <v>KCC 10D</v>
          </cell>
        </row>
        <row r="89">
          <cell r="D89" t="str">
            <v>Uniloy Rainville</v>
          </cell>
          <cell r="I89" t="str">
            <v>KCC 20D</v>
          </cell>
        </row>
        <row r="90">
          <cell r="D90" t="str">
            <v>Wheaton</v>
          </cell>
          <cell r="I90" t="str">
            <v>Large</v>
          </cell>
        </row>
        <row r="91">
          <cell r="D91" t="str">
            <v>Arburg</v>
          </cell>
          <cell r="I91" t="str">
            <v>Medium</v>
          </cell>
        </row>
        <row r="92">
          <cell r="D92" t="str">
            <v>Battenfeld</v>
          </cell>
          <cell r="I92" t="str">
            <v>Small</v>
          </cell>
        </row>
        <row r="93">
          <cell r="D93" t="str">
            <v>Boy</v>
          </cell>
          <cell r="I93" t="str">
            <v>Large</v>
          </cell>
        </row>
        <row r="94">
          <cell r="D94" t="str">
            <v>Chen Hsong</v>
          </cell>
          <cell r="I94" t="str">
            <v>MagicME-L20/D-LS(1100)+T35</v>
          </cell>
        </row>
        <row r="95">
          <cell r="D95" t="str">
            <v>Cincinnati</v>
          </cell>
          <cell r="I95" t="str">
            <v>MagicME-L58/D-LS(700)</v>
          </cell>
        </row>
        <row r="96">
          <cell r="D96" t="str">
            <v>Dasset</v>
          </cell>
          <cell r="I96" t="str">
            <v>Medium</v>
          </cell>
        </row>
        <row r="97">
          <cell r="D97" t="str">
            <v>Demag</v>
          </cell>
          <cell r="I97" t="str">
            <v>Small</v>
          </cell>
        </row>
        <row r="98">
          <cell r="D98" t="str">
            <v>Engel</v>
          </cell>
          <cell r="I98" t="str">
            <v>Large</v>
          </cell>
        </row>
        <row r="99">
          <cell r="D99" t="str">
            <v>Fanuc</v>
          </cell>
          <cell r="I99" t="str">
            <v>Medium</v>
          </cell>
        </row>
        <row r="100">
          <cell r="D100" t="str">
            <v>Ferromatik</v>
          </cell>
          <cell r="I100" t="str">
            <v>Small</v>
          </cell>
        </row>
        <row r="101">
          <cell r="D101" t="str">
            <v>Fongkee Iron Works Co. Ltd.</v>
          </cell>
          <cell r="I101" t="str">
            <v>Seriomac 720E Mono layer</v>
          </cell>
        </row>
        <row r="102">
          <cell r="D102" t="str">
            <v>Husky</v>
          </cell>
          <cell r="I102" t="str">
            <v>Seriomac 720H Mono layer</v>
          </cell>
        </row>
        <row r="103">
          <cell r="D103" t="str">
            <v>Klockner</v>
          </cell>
          <cell r="I103" t="str">
            <v>Large</v>
          </cell>
        </row>
        <row r="104">
          <cell r="D104" t="str">
            <v>Krauss Maffei</v>
          </cell>
          <cell r="I104" t="str">
            <v>Medium</v>
          </cell>
        </row>
        <row r="105">
          <cell r="D105" t="str">
            <v>MachineSupplier</v>
          </cell>
          <cell r="I105" t="str">
            <v>Small</v>
          </cell>
        </row>
        <row r="106">
          <cell r="D106" t="str">
            <v>Meiki</v>
          </cell>
          <cell r="I106" t="str">
            <v>Large</v>
          </cell>
        </row>
        <row r="107">
          <cell r="D107" t="str">
            <v>Negri Bossi</v>
          </cell>
          <cell r="I107" t="str">
            <v>Medium</v>
          </cell>
        </row>
        <row r="108">
          <cell r="D108" t="str">
            <v>Netstal</v>
          </cell>
          <cell r="I108" t="str">
            <v>Small</v>
          </cell>
        </row>
        <row r="109">
          <cell r="D109" t="str">
            <v>Niigata</v>
          </cell>
          <cell r="I109" t="str">
            <v>Large</v>
          </cell>
        </row>
        <row r="110">
          <cell r="D110" t="str">
            <v>Nissei</v>
          </cell>
          <cell r="I110" t="str">
            <v>Medium</v>
          </cell>
        </row>
        <row r="111">
          <cell r="D111" t="str">
            <v>Oima</v>
          </cell>
          <cell r="I111" t="str">
            <v>Small</v>
          </cell>
        </row>
        <row r="112">
          <cell r="D112" t="str">
            <v>Oriente</v>
          </cell>
          <cell r="I112" t="str">
            <v>SMC 2000DTC/Mono/70</v>
          </cell>
        </row>
        <row r="113">
          <cell r="D113" t="str">
            <v>Sandretto</v>
          </cell>
          <cell r="I113" t="str">
            <v>SMC2000DST / Double Station</v>
          </cell>
        </row>
        <row r="114">
          <cell r="D114" t="str">
            <v>Stork</v>
          </cell>
          <cell r="I114" t="str">
            <v>SMC2000T / Single Station</v>
          </cell>
        </row>
        <row r="115">
          <cell r="D115" t="str">
            <v>Sumitomo</v>
          </cell>
          <cell r="I115" t="str">
            <v>SMC3000DST / Double Station</v>
          </cell>
        </row>
        <row r="116">
          <cell r="D116" t="str">
            <v>Toshiba</v>
          </cell>
          <cell r="I116" t="str">
            <v>SMC3000T / Single Station</v>
          </cell>
        </row>
        <row r="117">
          <cell r="D117" t="str">
            <v>Windsor</v>
          </cell>
          <cell r="I117" t="str">
            <v>SMC5000DST / Double Station</v>
          </cell>
        </row>
        <row r="118">
          <cell r="D118" t="str">
            <v>Arburg</v>
          </cell>
          <cell r="I118" t="str">
            <v>SMC5000T / Single Station</v>
          </cell>
        </row>
        <row r="119">
          <cell r="D119" t="str">
            <v>Battenfeld</v>
          </cell>
          <cell r="I119" t="str">
            <v>BMU 100</v>
          </cell>
        </row>
        <row r="120">
          <cell r="D120" t="str">
            <v>Boy</v>
          </cell>
          <cell r="I120" t="str">
            <v>BMU 200</v>
          </cell>
        </row>
        <row r="121">
          <cell r="D121" t="str">
            <v>Cincinnati</v>
          </cell>
          <cell r="I121" t="str">
            <v>BMU 70</v>
          </cell>
        </row>
        <row r="122">
          <cell r="D122" t="str">
            <v>Dasset</v>
          </cell>
          <cell r="I122" t="str">
            <v>BMU 75</v>
          </cell>
        </row>
        <row r="123">
          <cell r="D123" t="str">
            <v>Demag</v>
          </cell>
          <cell r="I123" t="str">
            <v>Large</v>
          </cell>
        </row>
        <row r="124">
          <cell r="D124" t="str">
            <v>Engel</v>
          </cell>
          <cell r="I124" t="str">
            <v>Medium</v>
          </cell>
        </row>
        <row r="125">
          <cell r="D125" t="str">
            <v>Fanuc</v>
          </cell>
          <cell r="I125" t="str">
            <v>SDB 1200</v>
          </cell>
        </row>
        <row r="126">
          <cell r="D126" t="str">
            <v>Ferromatik</v>
          </cell>
          <cell r="I126" t="str">
            <v>SDB 1600</v>
          </cell>
        </row>
        <row r="127">
          <cell r="D127" t="str">
            <v>Husky</v>
          </cell>
          <cell r="I127" t="str">
            <v>SEB 820</v>
          </cell>
        </row>
        <row r="128">
          <cell r="D128" t="str">
            <v>Klockner</v>
          </cell>
          <cell r="I128" t="str">
            <v>Small</v>
          </cell>
        </row>
        <row r="129">
          <cell r="D129" t="str">
            <v>Krauss Maffei</v>
          </cell>
          <cell r="I129" t="str">
            <v>SSB 1200</v>
          </cell>
        </row>
        <row r="130">
          <cell r="D130" t="str">
            <v>MachineSupplier</v>
          </cell>
          <cell r="I130" t="str">
            <v>SSB 1600</v>
          </cell>
        </row>
        <row r="131">
          <cell r="D131" t="str">
            <v>Negri Bossi</v>
          </cell>
          <cell r="I131" t="str">
            <v>Large</v>
          </cell>
        </row>
        <row r="132">
          <cell r="D132" t="str">
            <v>Netstal</v>
          </cell>
          <cell r="I132" t="str">
            <v>Medium</v>
          </cell>
        </row>
        <row r="133">
          <cell r="D133" t="str">
            <v>Nissei</v>
          </cell>
          <cell r="I133" t="str">
            <v>Small</v>
          </cell>
        </row>
        <row r="134">
          <cell r="D134" t="str">
            <v>Oima</v>
          </cell>
          <cell r="I134" t="str">
            <v>Large</v>
          </cell>
        </row>
        <row r="135">
          <cell r="D135" t="str">
            <v>Stork</v>
          </cell>
          <cell r="I135" t="str">
            <v>Medium</v>
          </cell>
        </row>
        <row r="136">
          <cell r="D136" t="str">
            <v>Sumitomo</v>
          </cell>
          <cell r="I136" t="str">
            <v>Small</v>
          </cell>
        </row>
        <row r="137">
          <cell r="D137" t="str">
            <v>Toshiba</v>
          </cell>
          <cell r="I137" t="str">
            <v>Large</v>
          </cell>
        </row>
        <row r="138">
          <cell r="D138" t="str">
            <v>Ferromatik</v>
          </cell>
          <cell r="I138" t="str">
            <v>Medium</v>
          </cell>
        </row>
        <row r="139">
          <cell r="D139" t="str">
            <v>Aoki</v>
          </cell>
          <cell r="I139" t="str">
            <v>Small</v>
          </cell>
        </row>
        <row r="140">
          <cell r="D140" t="str">
            <v>ASB Nissei</v>
          </cell>
          <cell r="I140" t="str">
            <v>UMS 040D</v>
          </cell>
        </row>
        <row r="141">
          <cell r="D141" t="str">
            <v>Husky</v>
          </cell>
          <cell r="I141" t="str">
            <v>UMS 500 D</v>
          </cell>
        </row>
        <row r="142">
          <cell r="D142" t="str">
            <v>MachineSupplier</v>
          </cell>
          <cell r="I142" t="str">
            <v>UMS070D</v>
          </cell>
        </row>
        <row r="143">
          <cell r="D143" t="str">
            <v>Sipa</v>
          </cell>
          <cell r="I143" t="str">
            <v>UMS150D</v>
          </cell>
        </row>
        <row r="144">
          <cell r="D144" t="str">
            <v>ALS</v>
          </cell>
          <cell r="I144" t="str">
            <v>UMS150LSD</v>
          </cell>
        </row>
        <row r="145">
          <cell r="D145" t="str">
            <v>Krones</v>
          </cell>
          <cell r="I145" t="str">
            <v>UMS220D</v>
          </cell>
        </row>
        <row r="146">
          <cell r="D146" t="str">
            <v>MachineSupplier</v>
          </cell>
          <cell r="I146" t="str">
            <v>UMS270D</v>
          </cell>
        </row>
        <row r="147">
          <cell r="D147" t="str">
            <v>SIDE</v>
          </cell>
          <cell r="I147" t="str">
            <v>UMS280LSD</v>
          </cell>
        </row>
        <row r="148">
          <cell r="D148" t="str">
            <v>Sidel</v>
          </cell>
          <cell r="I148" t="str">
            <v>UMS300D</v>
          </cell>
        </row>
        <row r="149">
          <cell r="D149" t="str">
            <v>Sipa</v>
          </cell>
          <cell r="I149" t="str">
            <v>UNS100D</v>
          </cell>
        </row>
        <row r="150">
          <cell r="D150" t="str">
            <v>Arburg</v>
          </cell>
          <cell r="I150" t="str">
            <v>Large</v>
          </cell>
        </row>
        <row r="151">
          <cell r="D151" t="str">
            <v>Husky</v>
          </cell>
          <cell r="I151" t="str">
            <v>Medium</v>
          </cell>
        </row>
        <row r="152">
          <cell r="D152" t="str">
            <v>Krauss Maffei</v>
          </cell>
          <cell r="I152" t="str">
            <v>Small</v>
          </cell>
        </row>
        <row r="153">
          <cell r="D153" t="str">
            <v>MachineSupplier</v>
          </cell>
          <cell r="I153" t="str">
            <v>AE-590-TS - SIX</v>
          </cell>
        </row>
        <row r="154">
          <cell r="D154" t="str">
            <v>Netstal</v>
          </cell>
          <cell r="I154" t="str">
            <v>AE-590-TS - THREE</v>
          </cell>
        </row>
        <row r="155">
          <cell r="D155" t="str">
            <v>MachineSupplier</v>
          </cell>
          <cell r="I155" t="str">
            <v>AE-590-TS - TWO</v>
          </cell>
        </row>
        <row r="156">
          <cell r="I156" t="str">
            <v>AE-700-TS - SIX</v>
          </cell>
        </row>
        <row r="157">
          <cell r="I157" t="str">
            <v>AE-700-TS - THREE</v>
          </cell>
        </row>
        <row r="158">
          <cell r="I158" t="str">
            <v>AE-700-TS - TWO</v>
          </cell>
        </row>
        <row r="159">
          <cell r="I159" t="str">
            <v>AE-70-TS Double 2 layer</v>
          </cell>
        </row>
        <row r="160">
          <cell r="I160" t="str">
            <v>AE-900-TS - SIX</v>
          </cell>
        </row>
        <row r="161">
          <cell r="I161" t="str">
            <v>AE-900-TS - THREE</v>
          </cell>
        </row>
        <row r="162">
          <cell r="I162" t="str">
            <v>AE-900-TS - TWO</v>
          </cell>
        </row>
        <row r="163">
          <cell r="I163" t="str">
            <v>AO -50SN-TS Double 2 layer</v>
          </cell>
        </row>
        <row r="164">
          <cell r="I164" t="str">
            <v>AO-70SN-TS Double 2 layer</v>
          </cell>
        </row>
        <row r="165">
          <cell r="I165" t="str">
            <v>Large</v>
          </cell>
        </row>
        <row r="166">
          <cell r="I166" t="str">
            <v>Lin -70-TS Double 2 layer</v>
          </cell>
        </row>
        <row r="167">
          <cell r="I167" t="str">
            <v>Lin 9011-TS Double 2 layer</v>
          </cell>
        </row>
        <row r="168">
          <cell r="I168" t="str">
            <v>Lin-100-TS Double 2 layer</v>
          </cell>
        </row>
        <row r="169">
          <cell r="I169" t="str">
            <v>Lin-90-TS Double 2 layer</v>
          </cell>
        </row>
        <row r="170">
          <cell r="I170" t="str">
            <v>Medium</v>
          </cell>
        </row>
        <row r="171">
          <cell r="I171" t="str">
            <v>Small</v>
          </cell>
        </row>
        <row r="172">
          <cell r="I172" t="str">
            <v>Large</v>
          </cell>
        </row>
        <row r="173">
          <cell r="I173" t="str">
            <v>Medium</v>
          </cell>
        </row>
        <row r="174">
          <cell r="I174" t="str">
            <v>Small</v>
          </cell>
        </row>
        <row r="175">
          <cell r="I175" t="str">
            <v>Large</v>
          </cell>
        </row>
        <row r="176">
          <cell r="I176" t="str">
            <v>Medium</v>
          </cell>
        </row>
        <row r="177">
          <cell r="I177" t="str">
            <v>Small</v>
          </cell>
        </row>
        <row r="178">
          <cell r="I178" t="str">
            <v>Large</v>
          </cell>
        </row>
        <row r="179">
          <cell r="I179" t="str">
            <v>Medium</v>
          </cell>
        </row>
        <row r="180">
          <cell r="I180" t="str">
            <v>Small</v>
          </cell>
        </row>
        <row r="181">
          <cell r="I181" t="str">
            <v>Large</v>
          </cell>
        </row>
        <row r="182">
          <cell r="I182" t="str">
            <v>Medium</v>
          </cell>
        </row>
        <row r="183">
          <cell r="I183" t="str">
            <v>Small</v>
          </cell>
        </row>
        <row r="184">
          <cell r="I184" t="str">
            <v>Large</v>
          </cell>
        </row>
        <row r="185">
          <cell r="I185" t="str">
            <v>Medium</v>
          </cell>
        </row>
        <row r="186">
          <cell r="I186" t="str">
            <v>Small</v>
          </cell>
        </row>
        <row r="187">
          <cell r="I187" t="str">
            <v>Large</v>
          </cell>
        </row>
        <row r="188">
          <cell r="I188" t="str">
            <v>Medium</v>
          </cell>
        </row>
        <row r="189">
          <cell r="I189" t="str">
            <v>Small</v>
          </cell>
        </row>
        <row r="190">
          <cell r="I190" t="str">
            <v>Large</v>
          </cell>
        </row>
        <row r="191">
          <cell r="I191" t="str">
            <v>Medium</v>
          </cell>
        </row>
        <row r="192">
          <cell r="I192" t="str">
            <v>Small</v>
          </cell>
        </row>
        <row r="193">
          <cell r="I193" t="str">
            <v>Large</v>
          </cell>
        </row>
        <row r="194">
          <cell r="I194" t="str">
            <v>Medium</v>
          </cell>
        </row>
        <row r="195">
          <cell r="I195" t="str">
            <v>Small</v>
          </cell>
        </row>
        <row r="196">
          <cell r="I196" t="str">
            <v>Large</v>
          </cell>
        </row>
        <row r="197">
          <cell r="I197" t="str">
            <v>Medium</v>
          </cell>
        </row>
        <row r="198">
          <cell r="I198" t="str">
            <v>Small</v>
          </cell>
        </row>
        <row r="199">
          <cell r="I199" t="str">
            <v>Large</v>
          </cell>
        </row>
        <row r="200">
          <cell r="I200" t="str">
            <v>Medium</v>
          </cell>
        </row>
        <row r="201">
          <cell r="I201" t="str">
            <v>Small</v>
          </cell>
        </row>
        <row r="202">
          <cell r="I202" t="str">
            <v>Large</v>
          </cell>
        </row>
        <row r="203">
          <cell r="I203" t="str">
            <v>Medium</v>
          </cell>
        </row>
        <row r="204">
          <cell r="I204" t="str">
            <v>Small</v>
          </cell>
        </row>
        <row r="205">
          <cell r="I205" t="str">
            <v>KCC 10D 2 layer</v>
          </cell>
        </row>
        <row r="206">
          <cell r="I206" t="str">
            <v>KCC 20D 2 layer</v>
          </cell>
        </row>
        <row r="207">
          <cell r="I207" t="str">
            <v>Large</v>
          </cell>
        </row>
        <row r="208">
          <cell r="I208" t="str">
            <v>Medium</v>
          </cell>
        </row>
        <row r="209">
          <cell r="I209" t="str">
            <v>Small</v>
          </cell>
        </row>
        <row r="210">
          <cell r="I210" t="str">
            <v>BlowMultiMagicME-20/D(1100)+T35Co-Ex2</v>
          </cell>
        </row>
        <row r="211">
          <cell r="I211" t="str">
            <v>BlowMultiMagicME-20/D(1100)+T35Co-Ex3</v>
          </cell>
        </row>
        <row r="212">
          <cell r="I212" t="str">
            <v>BlowMultiMagicME-LD8/D-LS(700)CoEX2</v>
          </cell>
        </row>
        <row r="213">
          <cell r="I213" t="str">
            <v>BlowMultiMagicME-LD8/D-LS(700)CoEX3</v>
          </cell>
        </row>
        <row r="214">
          <cell r="I214" t="str">
            <v>Large</v>
          </cell>
        </row>
        <row r="215">
          <cell r="I215" t="str">
            <v>Medium</v>
          </cell>
        </row>
        <row r="216">
          <cell r="I216" t="str">
            <v>Small</v>
          </cell>
        </row>
        <row r="217">
          <cell r="I217" t="str">
            <v>Large</v>
          </cell>
        </row>
        <row r="218">
          <cell r="I218" t="str">
            <v>Medium</v>
          </cell>
        </row>
        <row r="219">
          <cell r="I219" t="str">
            <v>Small</v>
          </cell>
        </row>
        <row r="220">
          <cell r="I220" t="str">
            <v>Seriomac 720E Coex 3 layers</v>
          </cell>
        </row>
        <row r="221">
          <cell r="I221" t="str">
            <v>Seriomac 720H Coex 3 layers</v>
          </cell>
        </row>
        <row r="222">
          <cell r="I222" t="str">
            <v>Large</v>
          </cell>
        </row>
        <row r="223">
          <cell r="I223" t="str">
            <v>Medium</v>
          </cell>
        </row>
        <row r="224">
          <cell r="I224" t="str">
            <v>Small</v>
          </cell>
        </row>
        <row r="225">
          <cell r="I225" t="str">
            <v>Large</v>
          </cell>
        </row>
        <row r="226">
          <cell r="I226" t="str">
            <v>Medium</v>
          </cell>
        </row>
        <row r="227">
          <cell r="I227" t="str">
            <v>Small</v>
          </cell>
        </row>
        <row r="228">
          <cell r="I228" t="str">
            <v>Large</v>
          </cell>
        </row>
        <row r="229">
          <cell r="I229" t="str">
            <v>Medium</v>
          </cell>
        </row>
        <row r="230">
          <cell r="I230" t="str">
            <v>Small</v>
          </cell>
        </row>
        <row r="231">
          <cell r="I231" t="str">
            <v>SMC 2000DTC/BI/70/52</v>
          </cell>
        </row>
        <row r="232">
          <cell r="I232" t="str">
            <v>BMU 100</v>
          </cell>
        </row>
        <row r="233">
          <cell r="I233" t="str">
            <v>BMU 200</v>
          </cell>
        </row>
        <row r="234">
          <cell r="I234" t="str">
            <v>Large</v>
          </cell>
        </row>
        <row r="235">
          <cell r="I235" t="str">
            <v>Medium</v>
          </cell>
        </row>
        <row r="236">
          <cell r="I236" t="str">
            <v>SDB 1200</v>
          </cell>
        </row>
        <row r="237">
          <cell r="I237" t="str">
            <v>SDB 1600</v>
          </cell>
        </row>
        <row r="238">
          <cell r="I238" t="str">
            <v>SEB 820</v>
          </cell>
        </row>
        <row r="239">
          <cell r="I239" t="str">
            <v>Small</v>
          </cell>
        </row>
        <row r="240">
          <cell r="I240" t="str">
            <v>SSB 1200</v>
          </cell>
        </row>
        <row r="241">
          <cell r="I241" t="str">
            <v>SSB 1600</v>
          </cell>
        </row>
        <row r="242">
          <cell r="I242" t="str">
            <v>Large</v>
          </cell>
        </row>
        <row r="243">
          <cell r="I243" t="str">
            <v>Medium</v>
          </cell>
        </row>
        <row r="244">
          <cell r="I244" t="str">
            <v>Small</v>
          </cell>
        </row>
        <row r="245">
          <cell r="I245" t="str">
            <v>Large</v>
          </cell>
        </row>
        <row r="246">
          <cell r="I246" t="str">
            <v>Medium</v>
          </cell>
        </row>
        <row r="247">
          <cell r="I247" t="str">
            <v>Small</v>
          </cell>
        </row>
        <row r="248">
          <cell r="I248" t="str">
            <v>Large</v>
          </cell>
        </row>
        <row r="249">
          <cell r="I249" t="str">
            <v>Medium</v>
          </cell>
        </row>
        <row r="250">
          <cell r="I250" t="str">
            <v>Small</v>
          </cell>
        </row>
        <row r="251">
          <cell r="I251" t="str">
            <v>UMS 500 D 2 layer</v>
          </cell>
        </row>
        <row r="252">
          <cell r="I252" t="str">
            <v>UMS 500 D 6 layer</v>
          </cell>
        </row>
        <row r="253">
          <cell r="I253" t="str">
            <v>UMS070D 2 layer</v>
          </cell>
        </row>
        <row r="254">
          <cell r="I254" t="str">
            <v>UMS070D 6 layer</v>
          </cell>
        </row>
        <row r="255">
          <cell r="I255" t="str">
            <v>UMS150D 2 layer</v>
          </cell>
        </row>
        <row r="256">
          <cell r="I256" t="str">
            <v>UMS150D 6 layer</v>
          </cell>
        </row>
        <row r="257">
          <cell r="I257" t="str">
            <v>UMS150LSD 2 layer</v>
          </cell>
        </row>
        <row r="258">
          <cell r="I258" t="str">
            <v>UMS150LSD 6 layer</v>
          </cell>
        </row>
        <row r="259">
          <cell r="I259" t="str">
            <v>UMS220D 2 layer</v>
          </cell>
        </row>
        <row r="260">
          <cell r="I260" t="str">
            <v>UMS220D 6 layer</v>
          </cell>
        </row>
        <row r="261">
          <cell r="I261" t="str">
            <v>UMS270D 2 layer</v>
          </cell>
        </row>
        <row r="262">
          <cell r="I262" t="str">
            <v>UMS270D 6 layer</v>
          </cell>
        </row>
        <row r="263">
          <cell r="I263" t="str">
            <v>UMS280LSD 2 layer</v>
          </cell>
        </row>
        <row r="264">
          <cell r="I264" t="str">
            <v>UMS280LSD 6 layer</v>
          </cell>
        </row>
        <row r="265">
          <cell r="I265" t="str">
            <v>UMS300D 2 layer</v>
          </cell>
        </row>
        <row r="266">
          <cell r="I266" t="str">
            <v>UMS300D 6 layer</v>
          </cell>
        </row>
        <row r="267">
          <cell r="I267" t="str">
            <v>UNS100D 2 layer</v>
          </cell>
        </row>
        <row r="268">
          <cell r="I268" t="str">
            <v>UNS100D 6 layer</v>
          </cell>
        </row>
        <row r="269">
          <cell r="I269" t="str">
            <v>Large</v>
          </cell>
        </row>
        <row r="270">
          <cell r="I270" t="str">
            <v>Medium</v>
          </cell>
        </row>
        <row r="271">
          <cell r="I271" t="str">
            <v>Small</v>
          </cell>
        </row>
        <row r="272">
          <cell r="I272" t="str">
            <v>Mega 18 cavity Dual parison</v>
          </cell>
        </row>
        <row r="273">
          <cell r="I273" t="str">
            <v>Mega 20 cavity</v>
          </cell>
        </row>
        <row r="274">
          <cell r="I274" t="str">
            <v>Mini 12 cavity</v>
          </cell>
        </row>
        <row r="275">
          <cell r="I275" t="str">
            <v>Large</v>
          </cell>
        </row>
        <row r="276">
          <cell r="I276" t="str">
            <v>Medium</v>
          </cell>
        </row>
        <row r="277">
          <cell r="I277" t="str">
            <v>Small</v>
          </cell>
        </row>
        <row r="278">
          <cell r="I278" t="str">
            <v>Large</v>
          </cell>
        </row>
        <row r="279">
          <cell r="I279" t="str">
            <v>Medium</v>
          </cell>
        </row>
        <row r="280">
          <cell r="I280" t="str">
            <v>Small</v>
          </cell>
        </row>
        <row r="281">
          <cell r="I281" t="str">
            <v>Mega 18 cavity Dual parison 2 layer</v>
          </cell>
        </row>
        <row r="282">
          <cell r="I282" t="str">
            <v>Mega 18 cavity Dual parison 6 layer</v>
          </cell>
        </row>
        <row r="283">
          <cell r="I283" t="str">
            <v>Mega 20 cavity 2 layer</v>
          </cell>
        </row>
        <row r="284">
          <cell r="I284" t="str">
            <v>Mega 20 cavity 6 layer</v>
          </cell>
        </row>
        <row r="285">
          <cell r="I285" t="str">
            <v>Mini 12 cavity 2 layer</v>
          </cell>
        </row>
        <row r="286">
          <cell r="I286" t="str">
            <v>Mini 12 cavity 6 layer</v>
          </cell>
        </row>
        <row r="287">
          <cell r="I287" t="str">
            <v>Large</v>
          </cell>
        </row>
        <row r="288">
          <cell r="I288" t="str">
            <v>Medium</v>
          </cell>
        </row>
        <row r="289">
          <cell r="I289" t="str">
            <v>Small</v>
          </cell>
        </row>
        <row r="290">
          <cell r="I290" t="str">
            <v>Large</v>
          </cell>
        </row>
        <row r="291">
          <cell r="I291" t="str">
            <v>M 135</v>
          </cell>
        </row>
        <row r="292">
          <cell r="I292" t="str">
            <v>M 15</v>
          </cell>
        </row>
        <row r="293">
          <cell r="I293" t="str">
            <v>M 175</v>
          </cell>
        </row>
        <row r="294">
          <cell r="I294" t="str">
            <v>M 40</v>
          </cell>
        </row>
        <row r="295">
          <cell r="I295" t="str">
            <v>M 65</v>
          </cell>
        </row>
        <row r="296">
          <cell r="I296" t="str">
            <v>M 85S</v>
          </cell>
        </row>
        <row r="297">
          <cell r="I297" t="str">
            <v>Medium</v>
          </cell>
        </row>
        <row r="298">
          <cell r="I298" t="str">
            <v>Small</v>
          </cell>
        </row>
        <row r="299">
          <cell r="I299" t="str">
            <v>Large</v>
          </cell>
        </row>
        <row r="300">
          <cell r="I300" t="str">
            <v>Medium</v>
          </cell>
        </row>
        <row r="301">
          <cell r="I301" t="str">
            <v>Small</v>
          </cell>
        </row>
        <row r="302">
          <cell r="I302" t="str">
            <v>Large</v>
          </cell>
        </row>
        <row r="303">
          <cell r="I303" t="str">
            <v>Medium</v>
          </cell>
        </row>
        <row r="304">
          <cell r="I304" t="str">
            <v>Small</v>
          </cell>
        </row>
        <row r="305">
          <cell r="I305" t="str">
            <v>Large</v>
          </cell>
        </row>
        <row r="306">
          <cell r="I306" t="str">
            <v>Medium</v>
          </cell>
        </row>
        <row r="307">
          <cell r="I307" t="str">
            <v>Small</v>
          </cell>
        </row>
        <row r="308">
          <cell r="I308" t="str">
            <v>Large</v>
          </cell>
        </row>
        <row r="309">
          <cell r="I309" t="str">
            <v>Medium</v>
          </cell>
        </row>
        <row r="310">
          <cell r="I310" t="str">
            <v>Small</v>
          </cell>
        </row>
        <row r="311">
          <cell r="I311" t="str">
            <v>Large</v>
          </cell>
        </row>
        <row r="312">
          <cell r="I312" t="str">
            <v>Medium</v>
          </cell>
        </row>
        <row r="313">
          <cell r="I313" t="str">
            <v>Small</v>
          </cell>
        </row>
        <row r="314">
          <cell r="I314" t="str">
            <v>SMC135</v>
          </cell>
        </row>
        <row r="315">
          <cell r="I315" t="str">
            <v>SMC60IB</v>
          </cell>
        </row>
        <row r="316">
          <cell r="I316" t="str">
            <v>SMC85IB</v>
          </cell>
        </row>
        <row r="317">
          <cell r="I317" t="str">
            <v>UMIB 129</v>
          </cell>
        </row>
        <row r="318">
          <cell r="I318" t="str">
            <v>UMIB 200</v>
          </cell>
        </row>
        <row r="319">
          <cell r="I319" t="str">
            <v>UMIB 250</v>
          </cell>
        </row>
        <row r="320">
          <cell r="I320" t="str">
            <v>UMIB 45</v>
          </cell>
        </row>
        <row r="321">
          <cell r="I321" t="str">
            <v>UMIB 70</v>
          </cell>
        </row>
        <row r="322">
          <cell r="I322" t="str">
            <v>UMIB 78</v>
          </cell>
        </row>
        <row r="323">
          <cell r="I323" t="str">
            <v>UMIB 85</v>
          </cell>
        </row>
        <row r="324">
          <cell r="I324" t="str">
            <v>Large</v>
          </cell>
        </row>
        <row r="325">
          <cell r="I325" t="str">
            <v>Medium</v>
          </cell>
        </row>
        <row r="326">
          <cell r="I326" t="str">
            <v>Small</v>
          </cell>
        </row>
        <row r="327">
          <cell r="I327" t="str">
            <v>Large</v>
          </cell>
        </row>
        <row r="328">
          <cell r="I328" t="str">
            <v>Medium</v>
          </cell>
        </row>
        <row r="329">
          <cell r="I329" t="str">
            <v>Small</v>
          </cell>
        </row>
        <row r="330">
          <cell r="I330" t="str">
            <v>100 Tonne</v>
          </cell>
        </row>
        <row r="331">
          <cell r="I331" t="str">
            <v>150 Tonne</v>
          </cell>
        </row>
        <row r="332">
          <cell r="I332" t="str">
            <v>200 Tonne</v>
          </cell>
        </row>
        <row r="333">
          <cell r="I333" t="str">
            <v>250 Tonne</v>
          </cell>
        </row>
        <row r="334">
          <cell r="I334" t="str">
            <v>300 Tonne</v>
          </cell>
        </row>
        <row r="335">
          <cell r="I335" t="str">
            <v>350 Tonne</v>
          </cell>
        </row>
        <row r="336">
          <cell r="I336" t="str">
            <v>400 Tonne</v>
          </cell>
        </row>
        <row r="337">
          <cell r="I337" t="str">
            <v>500 Tonne</v>
          </cell>
        </row>
        <row r="338">
          <cell r="I338" t="str">
            <v>Large</v>
          </cell>
        </row>
        <row r="339">
          <cell r="I339" t="str">
            <v>Medium</v>
          </cell>
        </row>
        <row r="340">
          <cell r="I340" t="str">
            <v>Small</v>
          </cell>
        </row>
        <row r="341">
          <cell r="I341" t="str">
            <v>100 Tonne</v>
          </cell>
        </row>
        <row r="342">
          <cell r="I342" t="str">
            <v>150 Tonne</v>
          </cell>
        </row>
        <row r="343">
          <cell r="I343" t="str">
            <v>200 Tonne</v>
          </cell>
        </row>
        <row r="344">
          <cell r="I344" t="str">
            <v>250 Tonne</v>
          </cell>
        </row>
        <row r="345">
          <cell r="I345" t="str">
            <v>300 Tonne</v>
          </cell>
        </row>
        <row r="346">
          <cell r="I346" t="str">
            <v>350 Tonne</v>
          </cell>
        </row>
        <row r="347">
          <cell r="I347" t="str">
            <v>400 Tonne</v>
          </cell>
        </row>
        <row r="348">
          <cell r="I348" t="str">
            <v>500 Tonne</v>
          </cell>
        </row>
        <row r="349">
          <cell r="I349" t="str">
            <v>Large</v>
          </cell>
        </row>
        <row r="350">
          <cell r="I350" t="str">
            <v>Medium</v>
          </cell>
        </row>
        <row r="351">
          <cell r="I351" t="str">
            <v>Small</v>
          </cell>
        </row>
        <row r="352">
          <cell r="I352" t="str">
            <v>100 Tonne</v>
          </cell>
        </row>
        <row r="353">
          <cell r="I353" t="str">
            <v>150 Tonne</v>
          </cell>
        </row>
        <row r="354">
          <cell r="I354" t="str">
            <v>200 Tonne</v>
          </cell>
        </row>
        <row r="355">
          <cell r="I355" t="str">
            <v>250 Tonne</v>
          </cell>
        </row>
        <row r="356">
          <cell r="I356" t="str">
            <v>300 Tonne</v>
          </cell>
        </row>
        <row r="357">
          <cell r="I357" t="str">
            <v>350 Tonne</v>
          </cell>
        </row>
        <row r="358">
          <cell r="I358" t="str">
            <v>400 Tonne</v>
          </cell>
        </row>
        <row r="359">
          <cell r="I359" t="str">
            <v>500 Tonne</v>
          </cell>
        </row>
        <row r="360">
          <cell r="I360" t="str">
            <v>Large</v>
          </cell>
        </row>
        <row r="361">
          <cell r="I361" t="str">
            <v>Medium</v>
          </cell>
        </row>
        <row r="362">
          <cell r="I362" t="str">
            <v>Small</v>
          </cell>
        </row>
        <row r="363">
          <cell r="I363" t="str">
            <v>100 Tonne</v>
          </cell>
        </row>
        <row r="364">
          <cell r="I364" t="str">
            <v>150 Tonne</v>
          </cell>
        </row>
        <row r="365">
          <cell r="I365" t="str">
            <v>200 Tonne</v>
          </cell>
        </row>
        <row r="366">
          <cell r="I366" t="str">
            <v>250 Tonne</v>
          </cell>
        </row>
        <row r="367">
          <cell r="I367" t="str">
            <v>300 Tonne</v>
          </cell>
        </row>
        <row r="368">
          <cell r="I368" t="str">
            <v>350 Tonne</v>
          </cell>
        </row>
        <row r="369">
          <cell r="I369" t="str">
            <v>400 Tonne</v>
          </cell>
        </row>
        <row r="370">
          <cell r="I370" t="str">
            <v>500 Tonne</v>
          </cell>
        </row>
        <row r="371">
          <cell r="I371" t="str">
            <v>Large</v>
          </cell>
        </row>
        <row r="372">
          <cell r="I372" t="str">
            <v>Medium</v>
          </cell>
        </row>
        <row r="373">
          <cell r="I373" t="str">
            <v>Small</v>
          </cell>
        </row>
        <row r="374">
          <cell r="I374" t="str">
            <v>100 Tonne</v>
          </cell>
        </row>
        <row r="375">
          <cell r="I375" t="str">
            <v>150 Tonne</v>
          </cell>
        </row>
        <row r="376">
          <cell r="I376" t="str">
            <v>200 Tonne</v>
          </cell>
        </row>
        <row r="377">
          <cell r="I377" t="str">
            <v>250 Tonne</v>
          </cell>
        </row>
        <row r="378">
          <cell r="I378" t="str">
            <v>300 Tonne</v>
          </cell>
        </row>
        <row r="379">
          <cell r="I379" t="str">
            <v>350 Tonne</v>
          </cell>
        </row>
        <row r="380">
          <cell r="I380" t="str">
            <v>400 Tonne</v>
          </cell>
        </row>
        <row r="381">
          <cell r="I381" t="str">
            <v>500 Tonne</v>
          </cell>
        </row>
        <row r="382">
          <cell r="I382" t="str">
            <v>Large</v>
          </cell>
        </row>
        <row r="383">
          <cell r="I383" t="str">
            <v>Medium</v>
          </cell>
        </row>
        <row r="384">
          <cell r="I384" t="str">
            <v>Small</v>
          </cell>
        </row>
        <row r="385">
          <cell r="I385" t="str">
            <v>100 Tonne</v>
          </cell>
        </row>
        <row r="386">
          <cell r="I386" t="str">
            <v>150 Tonne</v>
          </cell>
        </row>
        <row r="387">
          <cell r="I387" t="str">
            <v>200 Tonne</v>
          </cell>
        </row>
        <row r="388">
          <cell r="I388" t="str">
            <v>250 Tonne</v>
          </cell>
        </row>
        <row r="389">
          <cell r="I389" t="str">
            <v>300 Tonne</v>
          </cell>
        </row>
        <row r="390">
          <cell r="I390" t="str">
            <v>350 Tonne</v>
          </cell>
        </row>
        <row r="391">
          <cell r="I391" t="str">
            <v>400 Tonne</v>
          </cell>
        </row>
        <row r="392">
          <cell r="I392" t="str">
            <v>500 Tonne</v>
          </cell>
        </row>
        <row r="393">
          <cell r="I393" t="str">
            <v>Large</v>
          </cell>
        </row>
        <row r="394">
          <cell r="I394" t="str">
            <v>Medium</v>
          </cell>
        </row>
        <row r="395">
          <cell r="I395" t="str">
            <v>Small</v>
          </cell>
        </row>
        <row r="396">
          <cell r="I396" t="str">
            <v>100 Tonne</v>
          </cell>
        </row>
        <row r="397">
          <cell r="I397" t="str">
            <v>150 Tonne</v>
          </cell>
        </row>
        <row r="398">
          <cell r="I398" t="str">
            <v>200 Tonne</v>
          </cell>
        </row>
        <row r="399">
          <cell r="I399" t="str">
            <v>250 Tonne</v>
          </cell>
        </row>
        <row r="400">
          <cell r="I400" t="str">
            <v>300 Tonne</v>
          </cell>
        </row>
        <row r="401">
          <cell r="I401" t="str">
            <v>350 Tonne</v>
          </cell>
        </row>
        <row r="402">
          <cell r="I402" t="str">
            <v>400 Tonne</v>
          </cell>
        </row>
        <row r="403">
          <cell r="I403" t="str">
            <v>500 Tonne</v>
          </cell>
        </row>
        <row r="404">
          <cell r="I404" t="str">
            <v>Large</v>
          </cell>
        </row>
        <row r="405">
          <cell r="I405" t="str">
            <v>Medium</v>
          </cell>
        </row>
        <row r="406">
          <cell r="I406" t="str">
            <v>Small</v>
          </cell>
        </row>
        <row r="407">
          <cell r="I407" t="str">
            <v>600 Tonne HL</v>
          </cell>
        </row>
        <row r="408">
          <cell r="I408" t="str">
            <v>e mac 100</v>
          </cell>
        </row>
        <row r="409">
          <cell r="I409" t="str">
            <v>e mac 180</v>
          </cell>
        </row>
        <row r="410">
          <cell r="I410" t="str">
            <v>e Victory 120</v>
          </cell>
        </row>
        <row r="411">
          <cell r="I411" t="str">
            <v>e Victory 160</v>
          </cell>
        </row>
        <row r="412">
          <cell r="I412" t="str">
            <v>e Victory 220</v>
          </cell>
        </row>
        <row r="413">
          <cell r="I413" t="str">
            <v>e Victory 300</v>
          </cell>
        </row>
        <row r="414">
          <cell r="I414" t="str">
            <v>e Victory 400</v>
          </cell>
        </row>
        <row r="415">
          <cell r="I415" t="str">
            <v>e-motion 110 T</v>
          </cell>
        </row>
        <row r="416">
          <cell r="I416" t="str">
            <v>e-motion 160 T</v>
          </cell>
        </row>
        <row r="417">
          <cell r="I417" t="str">
            <v>e-motion 220 T</v>
          </cell>
        </row>
        <row r="418">
          <cell r="I418" t="str">
            <v>e-motion 280 T</v>
          </cell>
        </row>
        <row r="419">
          <cell r="I419" t="str">
            <v>e-motion 380 T</v>
          </cell>
        </row>
        <row r="420">
          <cell r="I420" t="str">
            <v>e-motion 500 T</v>
          </cell>
        </row>
        <row r="421">
          <cell r="I421" t="str">
            <v>ES HL 500 Tonne</v>
          </cell>
        </row>
        <row r="422">
          <cell r="I422" t="str">
            <v>Large</v>
          </cell>
        </row>
        <row r="423">
          <cell r="I423" t="str">
            <v>Medium</v>
          </cell>
        </row>
        <row r="424">
          <cell r="I424" t="str">
            <v>Small</v>
          </cell>
        </row>
        <row r="425">
          <cell r="I425" t="str">
            <v>Victory 110 Tonne</v>
          </cell>
        </row>
        <row r="426">
          <cell r="I426" t="str">
            <v>Victory 120</v>
          </cell>
        </row>
        <row r="427">
          <cell r="I427" t="str">
            <v>Victory 160</v>
          </cell>
        </row>
        <row r="428">
          <cell r="I428" t="str">
            <v>Victory 200 Tonne</v>
          </cell>
        </row>
        <row r="429">
          <cell r="I429" t="str">
            <v>Victory 220</v>
          </cell>
        </row>
        <row r="430">
          <cell r="I430" t="str">
            <v>Victory 300</v>
          </cell>
        </row>
        <row r="431">
          <cell r="I431" t="str">
            <v>Victory 300 Tonne</v>
          </cell>
        </row>
        <row r="432">
          <cell r="I432" t="str">
            <v>Victory 400</v>
          </cell>
        </row>
        <row r="433">
          <cell r="I433" t="str">
            <v>Victory 400 Tonne</v>
          </cell>
        </row>
        <row r="434">
          <cell r="I434" t="str">
            <v>Victory 500</v>
          </cell>
        </row>
        <row r="435">
          <cell r="I435" t="str">
            <v>100 Tonne</v>
          </cell>
        </row>
        <row r="436">
          <cell r="I436" t="str">
            <v>150 Tonne</v>
          </cell>
        </row>
        <row r="437">
          <cell r="I437" t="str">
            <v>200 Tonne</v>
          </cell>
        </row>
        <row r="438">
          <cell r="I438" t="str">
            <v>250 Tonne</v>
          </cell>
        </row>
        <row r="439">
          <cell r="I439" t="str">
            <v>300 Tonne</v>
          </cell>
        </row>
        <row r="440">
          <cell r="I440" t="str">
            <v>350 Tonne</v>
          </cell>
        </row>
        <row r="441">
          <cell r="I441" t="str">
            <v>400 Tonne</v>
          </cell>
        </row>
        <row r="442">
          <cell r="I442" t="str">
            <v>500 Tonne</v>
          </cell>
        </row>
        <row r="443">
          <cell r="I443" t="str">
            <v>Large</v>
          </cell>
        </row>
        <row r="444">
          <cell r="I444" t="str">
            <v>Medium</v>
          </cell>
        </row>
        <row r="445">
          <cell r="I445" t="str">
            <v>Small</v>
          </cell>
        </row>
        <row r="446">
          <cell r="I446" t="str">
            <v>EE 110 Ton Elektra electric</v>
          </cell>
        </row>
        <row r="447">
          <cell r="I447" t="str">
            <v>EE 155 Ton Elektra electric</v>
          </cell>
        </row>
        <row r="448">
          <cell r="I448" t="str">
            <v>EE 180 Ton Elektra electric</v>
          </cell>
        </row>
        <row r="449">
          <cell r="I449" t="str">
            <v>EE 300 Ton Elektra electric</v>
          </cell>
        </row>
        <row r="450">
          <cell r="I450" t="str">
            <v>FM K-TEC 110 Tonne</v>
          </cell>
        </row>
        <row r="451">
          <cell r="I451" t="str">
            <v>K-TEC 155 Tonne</v>
          </cell>
        </row>
        <row r="452">
          <cell r="I452" t="str">
            <v>K-TEC 175 Tonne</v>
          </cell>
        </row>
        <row r="453">
          <cell r="I453" t="str">
            <v>K-TEC 200 Tonne</v>
          </cell>
        </row>
        <row r="454">
          <cell r="I454" t="str">
            <v>K-TEC 250 Tonne</v>
          </cell>
        </row>
        <row r="455">
          <cell r="I455" t="str">
            <v>K-TEC 275 Tonne</v>
          </cell>
        </row>
        <row r="456">
          <cell r="I456" t="str">
            <v>K-TEC 320 Tonne</v>
          </cell>
        </row>
        <row r="457">
          <cell r="I457" t="str">
            <v>K-TEC 350 Tonne</v>
          </cell>
        </row>
        <row r="458">
          <cell r="I458" t="str">
            <v>K-TEC 400 Tonne</v>
          </cell>
        </row>
        <row r="459">
          <cell r="I459" t="str">
            <v>K-TEC 450 Tonne</v>
          </cell>
        </row>
        <row r="460">
          <cell r="I460" t="str">
            <v>MM 1000 Tonne topline P</v>
          </cell>
        </row>
        <row r="461">
          <cell r="I461" t="str">
            <v>MM 500 Tonne topline P</v>
          </cell>
        </row>
        <row r="462">
          <cell r="I462" t="str">
            <v>MM 650 Tonne topline P</v>
          </cell>
        </row>
        <row r="463">
          <cell r="I463" t="str">
            <v>MM 800 Tonne topline P</v>
          </cell>
        </row>
        <row r="464">
          <cell r="I464" t="str">
            <v>100 Tonne</v>
          </cell>
        </row>
        <row r="465">
          <cell r="I465" t="str">
            <v>150 Tonne</v>
          </cell>
        </row>
        <row r="466">
          <cell r="I466" t="str">
            <v>200 Tonne</v>
          </cell>
        </row>
        <row r="467">
          <cell r="I467" t="str">
            <v>250 Tonne</v>
          </cell>
        </row>
        <row r="468">
          <cell r="I468" t="str">
            <v>300 Tonne</v>
          </cell>
        </row>
        <row r="469">
          <cell r="I469" t="str">
            <v>350 Tonne</v>
          </cell>
        </row>
        <row r="470">
          <cell r="I470" t="str">
            <v>400 Tonne</v>
          </cell>
        </row>
        <row r="471">
          <cell r="I471" t="str">
            <v>500 Tonne</v>
          </cell>
        </row>
        <row r="472">
          <cell r="I472" t="str">
            <v>Large</v>
          </cell>
        </row>
        <row r="473">
          <cell r="I473" t="str">
            <v>Medium</v>
          </cell>
        </row>
        <row r="474">
          <cell r="I474" t="str">
            <v>Small</v>
          </cell>
        </row>
        <row r="475">
          <cell r="I475" t="str">
            <v>100 Tonne</v>
          </cell>
        </row>
        <row r="476">
          <cell r="I476" t="str">
            <v>150 Tonne</v>
          </cell>
        </row>
        <row r="477">
          <cell r="I477" t="str">
            <v>200 Tonne</v>
          </cell>
        </row>
        <row r="478">
          <cell r="I478" t="str">
            <v>250 Tonne</v>
          </cell>
        </row>
        <row r="479">
          <cell r="I479" t="str">
            <v>300 Tonne</v>
          </cell>
        </row>
        <row r="480">
          <cell r="I480" t="str">
            <v>350 Tonne</v>
          </cell>
        </row>
        <row r="481">
          <cell r="I481" t="str">
            <v>400 Tonne</v>
          </cell>
        </row>
        <row r="482">
          <cell r="I482" t="str">
            <v>500 Tonne</v>
          </cell>
        </row>
        <row r="483">
          <cell r="I483" t="str">
            <v>H400 RS65/60</v>
          </cell>
        </row>
        <row r="484">
          <cell r="I484" t="str">
            <v>H500 RS80/70</v>
          </cell>
        </row>
        <row r="485">
          <cell r="I485" t="str">
            <v>Large</v>
          </cell>
        </row>
        <row r="486">
          <cell r="I486" t="str">
            <v>Medium</v>
          </cell>
        </row>
        <row r="487">
          <cell r="I487" t="str">
            <v>Small</v>
          </cell>
        </row>
        <row r="488">
          <cell r="I488" t="str">
            <v>100 Tonne</v>
          </cell>
        </row>
        <row r="489">
          <cell r="I489" t="str">
            <v>150 Tonne</v>
          </cell>
        </row>
        <row r="490">
          <cell r="I490" t="str">
            <v>200 Tonne</v>
          </cell>
        </row>
        <row r="491">
          <cell r="I491" t="str">
            <v>250 Tonne</v>
          </cell>
        </row>
        <row r="492">
          <cell r="I492" t="str">
            <v>300 Tonne</v>
          </cell>
        </row>
        <row r="493">
          <cell r="I493" t="str">
            <v>350 Tonne</v>
          </cell>
        </row>
        <row r="494">
          <cell r="I494" t="str">
            <v>400 Tonne</v>
          </cell>
        </row>
        <row r="495">
          <cell r="I495" t="str">
            <v>500 Tonne</v>
          </cell>
        </row>
        <row r="496">
          <cell r="I496" t="str">
            <v>Large</v>
          </cell>
        </row>
        <row r="497">
          <cell r="I497" t="str">
            <v>Medium</v>
          </cell>
        </row>
        <row r="498">
          <cell r="I498" t="str">
            <v>Small</v>
          </cell>
        </row>
        <row r="499">
          <cell r="I499" t="str">
            <v>KM 140 Tonne</v>
          </cell>
        </row>
        <row r="500">
          <cell r="I500" t="str">
            <v>KM 160 Tonne All Electric</v>
          </cell>
        </row>
        <row r="501">
          <cell r="I501" t="str">
            <v>KM 180 Tonne</v>
          </cell>
        </row>
        <row r="502">
          <cell r="I502" t="str">
            <v>KM 280 Tonne</v>
          </cell>
        </row>
        <row r="503">
          <cell r="I503" t="str">
            <v>KM 320 Tonne</v>
          </cell>
        </row>
        <row r="504">
          <cell r="I504" t="str">
            <v>KM 380 Tonne</v>
          </cell>
        </row>
        <row r="505">
          <cell r="I505" t="str">
            <v>KM 450 Tonne</v>
          </cell>
        </row>
        <row r="506">
          <cell r="I506" t="str">
            <v>KM 50 Tonne</v>
          </cell>
        </row>
        <row r="507">
          <cell r="I507" t="str">
            <v>KM 600 Tonne</v>
          </cell>
        </row>
        <row r="508">
          <cell r="I508" t="str">
            <v>KM 80 Tonne</v>
          </cell>
        </row>
        <row r="509">
          <cell r="I509" t="str">
            <v>KM 80 Tonne All Electric</v>
          </cell>
        </row>
        <row r="510">
          <cell r="I510" t="str">
            <v>KM100 Tonne</v>
          </cell>
        </row>
        <row r="511">
          <cell r="I511" t="str">
            <v>KM130 Tonne</v>
          </cell>
        </row>
        <row r="512">
          <cell r="I512" t="str">
            <v>KM160 Tonne</v>
          </cell>
        </row>
        <row r="513">
          <cell r="I513" t="str">
            <v>Large</v>
          </cell>
        </row>
        <row r="514">
          <cell r="I514" t="str">
            <v>Medium</v>
          </cell>
        </row>
        <row r="515">
          <cell r="I515" t="str">
            <v>Small</v>
          </cell>
        </row>
        <row r="516">
          <cell r="I516" t="str">
            <v>100 Tonne</v>
          </cell>
        </row>
        <row r="517">
          <cell r="I517" t="str">
            <v>150 Tonne</v>
          </cell>
        </row>
        <row r="518">
          <cell r="I518" t="str">
            <v>200 Tonne</v>
          </cell>
        </row>
        <row r="519">
          <cell r="I519" t="str">
            <v>250 Tonne</v>
          </cell>
        </row>
        <row r="520">
          <cell r="I520" t="str">
            <v>300 Tonne</v>
          </cell>
        </row>
        <row r="521">
          <cell r="I521" t="str">
            <v>350 Tonne</v>
          </cell>
        </row>
        <row r="522">
          <cell r="I522" t="str">
            <v>400 Tonne</v>
          </cell>
        </row>
        <row r="523">
          <cell r="I523" t="str">
            <v>500 Tonne</v>
          </cell>
        </row>
        <row r="524">
          <cell r="I524" t="str">
            <v>Large</v>
          </cell>
        </row>
        <row r="525">
          <cell r="I525" t="str">
            <v>Medium</v>
          </cell>
        </row>
        <row r="526">
          <cell r="I526" t="str">
            <v>Small</v>
          </cell>
        </row>
        <row r="527">
          <cell r="I527" t="str">
            <v>100 Tonne</v>
          </cell>
        </row>
        <row r="528">
          <cell r="I528" t="str">
            <v>150 Tonne</v>
          </cell>
        </row>
        <row r="529">
          <cell r="I529" t="str">
            <v>200 Tonne</v>
          </cell>
        </row>
        <row r="530">
          <cell r="I530" t="str">
            <v>250 Tonne</v>
          </cell>
        </row>
        <row r="531">
          <cell r="I531" t="str">
            <v>300 Tonne</v>
          </cell>
        </row>
        <row r="532">
          <cell r="I532" t="str">
            <v>350 Tonne</v>
          </cell>
        </row>
        <row r="533">
          <cell r="I533" t="str">
            <v>400 Tonne</v>
          </cell>
        </row>
        <row r="534">
          <cell r="I534" t="str">
            <v>500 Tonne</v>
          </cell>
        </row>
        <row r="535">
          <cell r="I535" t="str">
            <v>Large</v>
          </cell>
        </row>
        <row r="536">
          <cell r="I536" t="str">
            <v>Medium</v>
          </cell>
        </row>
        <row r="537">
          <cell r="I537" t="str">
            <v>Small</v>
          </cell>
        </row>
        <row r="538">
          <cell r="I538" t="str">
            <v>100 Tonne</v>
          </cell>
        </row>
        <row r="539">
          <cell r="I539" t="str">
            <v>150 Tonne</v>
          </cell>
        </row>
        <row r="540">
          <cell r="I540" t="str">
            <v>200 Tonne</v>
          </cell>
        </row>
        <row r="541">
          <cell r="I541" t="str">
            <v>250 Tonne</v>
          </cell>
        </row>
        <row r="542">
          <cell r="I542" t="str">
            <v>300 Tonne</v>
          </cell>
        </row>
        <row r="543">
          <cell r="I543" t="str">
            <v>350 Tonne</v>
          </cell>
        </row>
        <row r="544">
          <cell r="I544" t="str">
            <v>400 Tonne</v>
          </cell>
        </row>
        <row r="545">
          <cell r="I545" t="str">
            <v>500 Tonne</v>
          </cell>
        </row>
        <row r="546">
          <cell r="I546" t="str">
            <v>Large</v>
          </cell>
        </row>
        <row r="547">
          <cell r="I547" t="str">
            <v>Medium</v>
          </cell>
        </row>
        <row r="548">
          <cell r="I548" t="str">
            <v>Small</v>
          </cell>
        </row>
        <row r="549">
          <cell r="I549" t="str">
            <v>100 Tonne</v>
          </cell>
        </row>
        <row r="550">
          <cell r="I550" t="str">
            <v>150 Tonne</v>
          </cell>
        </row>
        <row r="551">
          <cell r="I551" t="str">
            <v>200 Tonne</v>
          </cell>
        </row>
        <row r="552">
          <cell r="I552" t="str">
            <v>250 Tonne</v>
          </cell>
        </row>
        <row r="553">
          <cell r="I553" t="str">
            <v>300 Tonne</v>
          </cell>
        </row>
        <row r="554">
          <cell r="I554" t="str">
            <v>350 Tonne</v>
          </cell>
        </row>
        <row r="555">
          <cell r="I555" t="str">
            <v>400 Tonne</v>
          </cell>
        </row>
        <row r="556">
          <cell r="I556" t="str">
            <v>500 Tonne</v>
          </cell>
        </row>
        <row r="557">
          <cell r="I557" t="str">
            <v>Large</v>
          </cell>
        </row>
        <row r="558">
          <cell r="I558" t="str">
            <v>Medium</v>
          </cell>
        </row>
        <row r="559">
          <cell r="I559" t="str">
            <v>Small</v>
          </cell>
        </row>
        <row r="560">
          <cell r="I560" t="str">
            <v>100 Tonne</v>
          </cell>
        </row>
        <row r="561">
          <cell r="I561" t="str">
            <v>150 Tonne</v>
          </cell>
        </row>
        <row r="562">
          <cell r="I562" t="str">
            <v>200 Tonne</v>
          </cell>
        </row>
        <row r="563">
          <cell r="I563" t="str">
            <v>250 Tonne</v>
          </cell>
        </row>
        <row r="564">
          <cell r="I564" t="str">
            <v>300 Tonne</v>
          </cell>
        </row>
        <row r="565">
          <cell r="I565" t="str">
            <v>350 Tonne</v>
          </cell>
        </row>
        <row r="566">
          <cell r="I566" t="str">
            <v>400 Tonne</v>
          </cell>
        </row>
        <row r="567">
          <cell r="I567" t="str">
            <v>500 Tonne</v>
          </cell>
        </row>
        <row r="568">
          <cell r="I568" t="str">
            <v>Large</v>
          </cell>
        </row>
        <row r="569">
          <cell r="I569" t="str">
            <v>Medium</v>
          </cell>
        </row>
        <row r="570">
          <cell r="I570" t="str">
            <v>Small</v>
          </cell>
        </row>
        <row r="571">
          <cell r="I571" t="str">
            <v>100 Tonne</v>
          </cell>
        </row>
        <row r="572">
          <cell r="I572" t="str">
            <v>150 Tonne</v>
          </cell>
        </row>
        <row r="573">
          <cell r="I573" t="str">
            <v>200 Tonne</v>
          </cell>
        </row>
        <row r="574">
          <cell r="I574" t="str">
            <v>250 Tonne</v>
          </cell>
        </row>
        <row r="575">
          <cell r="I575" t="str">
            <v>300 Tonne</v>
          </cell>
        </row>
        <row r="576">
          <cell r="I576" t="str">
            <v>350 Tonne</v>
          </cell>
        </row>
        <row r="577">
          <cell r="I577" t="str">
            <v>400 Tonne</v>
          </cell>
        </row>
        <row r="578">
          <cell r="I578" t="str">
            <v>500 Tonne</v>
          </cell>
        </row>
        <row r="579">
          <cell r="I579" t="str">
            <v>Large</v>
          </cell>
        </row>
        <row r="580">
          <cell r="I580" t="str">
            <v>Medium</v>
          </cell>
        </row>
        <row r="581">
          <cell r="I581" t="str">
            <v>Small</v>
          </cell>
        </row>
        <row r="582">
          <cell r="I582" t="str">
            <v>100 Tonne</v>
          </cell>
        </row>
        <row r="583">
          <cell r="I583" t="str">
            <v>150 Tonne</v>
          </cell>
        </row>
        <row r="584">
          <cell r="I584" t="str">
            <v>200 Tonne</v>
          </cell>
        </row>
        <row r="585">
          <cell r="I585" t="str">
            <v>250 Tonne</v>
          </cell>
        </row>
        <row r="586">
          <cell r="I586" t="str">
            <v>300 Tonne</v>
          </cell>
        </row>
        <row r="587">
          <cell r="I587" t="str">
            <v>350 Tonne</v>
          </cell>
        </row>
        <row r="588">
          <cell r="I588" t="str">
            <v>400 Tonne</v>
          </cell>
        </row>
        <row r="589">
          <cell r="I589" t="str">
            <v>500 Tonne</v>
          </cell>
        </row>
        <row r="590">
          <cell r="I590" t="str">
            <v>Large</v>
          </cell>
        </row>
        <row r="591">
          <cell r="I591" t="str">
            <v>Medium</v>
          </cell>
        </row>
        <row r="592">
          <cell r="I592" t="str">
            <v>Small</v>
          </cell>
        </row>
        <row r="593">
          <cell r="I593" t="str">
            <v>100 Tonne</v>
          </cell>
        </row>
        <row r="594">
          <cell r="I594" t="str">
            <v>150 Tonne</v>
          </cell>
        </row>
        <row r="595">
          <cell r="I595" t="str">
            <v>200 Tonne</v>
          </cell>
        </row>
        <row r="596">
          <cell r="I596" t="str">
            <v>250 Tonne</v>
          </cell>
        </row>
        <row r="597">
          <cell r="I597" t="str">
            <v>300 Tonne</v>
          </cell>
        </row>
        <row r="598">
          <cell r="I598" t="str">
            <v>350 Tonne</v>
          </cell>
        </row>
        <row r="599">
          <cell r="I599" t="str">
            <v>400 Tonne</v>
          </cell>
        </row>
        <row r="600">
          <cell r="I600" t="str">
            <v>500 Tonne</v>
          </cell>
        </row>
        <row r="601">
          <cell r="I601" t="str">
            <v>Large</v>
          </cell>
        </row>
        <row r="602">
          <cell r="I602" t="str">
            <v>Medium</v>
          </cell>
        </row>
        <row r="603">
          <cell r="I603" t="str">
            <v>Small</v>
          </cell>
        </row>
        <row r="604">
          <cell r="I604" t="str">
            <v>100 Tonne</v>
          </cell>
        </row>
        <row r="605">
          <cell r="I605" t="str">
            <v>170 Tonne</v>
          </cell>
        </row>
        <row r="606">
          <cell r="I606" t="str">
            <v>230 Tonne</v>
          </cell>
        </row>
        <row r="607">
          <cell r="I607" t="str">
            <v>320 Tonne</v>
          </cell>
        </row>
        <row r="608">
          <cell r="I608" t="str">
            <v>485 Tonne</v>
          </cell>
        </row>
        <row r="609">
          <cell r="I609" t="str">
            <v>700 Tonne</v>
          </cell>
        </row>
        <row r="610">
          <cell r="I610" t="str">
            <v>100 Tonne</v>
          </cell>
        </row>
        <row r="611">
          <cell r="I611" t="str">
            <v>150 Tonne</v>
          </cell>
        </row>
        <row r="612">
          <cell r="I612" t="str">
            <v>200 Tonne</v>
          </cell>
        </row>
        <row r="613">
          <cell r="I613" t="str">
            <v>250 Tonne</v>
          </cell>
        </row>
        <row r="614">
          <cell r="I614" t="str">
            <v>300 Tonne</v>
          </cell>
        </row>
        <row r="615">
          <cell r="I615" t="str">
            <v>350 Tonne</v>
          </cell>
        </row>
        <row r="616">
          <cell r="I616" t="str">
            <v>400 Tonne</v>
          </cell>
        </row>
        <row r="617">
          <cell r="I617" t="str">
            <v>500 Tonne</v>
          </cell>
        </row>
        <row r="618">
          <cell r="I618" t="str">
            <v>Large</v>
          </cell>
        </row>
        <row r="619">
          <cell r="I619" t="str">
            <v>Medium</v>
          </cell>
        </row>
        <row r="620">
          <cell r="I620" t="str">
            <v>Small</v>
          </cell>
        </row>
        <row r="621">
          <cell r="I621" t="str">
            <v>100 Tonne</v>
          </cell>
        </row>
        <row r="622">
          <cell r="I622" t="str">
            <v>150 Tonne</v>
          </cell>
        </row>
        <row r="623">
          <cell r="I623" t="str">
            <v>200 Tonne</v>
          </cell>
        </row>
        <row r="624">
          <cell r="I624" t="str">
            <v>250 Tonne</v>
          </cell>
        </row>
        <row r="625">
          <cell r="I625" t="str">
            <v>300 Tonne</v>
          </cell>
        </row>
        <row r="626">
          <cell r="I626" t="str">
            <v>350 Tonne</v>
          </cell>
        </row>
        <row r="627">
          <cell r="I627" t="str">
            <v>400 Tonne</v>
          </cell>
        </row>
        <row r="628">
          <cell r="I628" t="str">
            <v>500 Tonne</v>
          </cell>
        </row>
        <row r="629">
          <cell r="I629" t="str">
            <v>Large</v>
          </cell>
        </row>
        <row r="630">
          <cell r="I630" t="str">
            <v>Medium</v>
          </cell>
        </row>
        <row r="631">
          <cell r="I631" t="str">
            <v>Small</v>
          </cell>
        </row>
        <row r="632">
          <cell r="I632" t="str">
            <v>100 Tonne</v>
          </cell>
        </row>
        <row r="633">
          <cell r="I633" t="str">
            <v>150 Tonne</v>
          </cell>
        </row>
        <row r="634">
          <cell r="I634" t="str">
            <v>200 Tonne</v>
          </cell>
        </row>
        <row r="635">
          <cell r="I635" t="str">
            <v>250 Tonne</v>
          </cell>
        </row>
        <row r="636">
          <cell r="I636" t="str">
            <v>300 Tonne</v>
          </cell>
        </row>
        <row r="637">
          <cell r="I637" t="str">
            <v>350 Tonne</v>
          </cell>
        </row>
        <row r="638">
          <cell r="I638" t="str">
            <v>400 Tonne</v>
          </cell>
        </row>
        <row r="639">
          <cell r="I639" t="str">
            <v>500 Tonne</v>
          </cell>
        </row>
        <row r="640">
          <cell r="I640" t="str">
            <v>Large</v>
          </cell>
        </row>
        <row r="641">
          <cell r="I641" t="str">
            <v>Medium</v>
          </cell>
        </row>
        <row r="642">
          <cell r="I642" t="str">
            <v>Small</v>
          </cell>
        </row>
        <row r="643">
          <cell r="I643" t="str">
            <v>100 Tonne</v>
          </cell>
        </row>
        <row r="644">
          <cell r="I644" t="str">
            <v>150 Tonne</v>
          </cell>
        </row>
        <row r="645">
          <cell r="I645" t="str">
            <v>200 Tonne</v>
          </cell>
        </row>
        <row r="646">
          <cell r="I646" t="str">
            <v>250 Tonne</v>
          </cell>
        </row>
        <row r="647">
          <cell r="I647" t="str">
            <v>300 Tonne</v>
          </cell>
        </row>
        <row r="648">
          <cell r="I648" t="str">
            <v>350 Tonne</v>
          </cell>
        </row>
        <row r="649">
          <cell r="I649" t="str">
            <v>400 Tonne</v>
          </cell>
        </row>
        <row r="650">
          <cell r="I650" t="str">
            <v>500 Tonne</v>
          </cell>
        </row>
        <row r="651">
          <cell r="I651" t="str">
            <v>Large</v>
          </cell>
        </row>
        <row r="652">
          <cell r="I652" t="str">
            <v>Medium</v>
          </cell>
        </row>
        <row r="653">
          <cell r="I653" t="str">
            <v>Small</v>
          </cell>
        </row>
        <row r="654">
          <cell r="I654" t="str">
            <v>100 Tonne</v>
          </cell>
        </row>
        <row r="655">
          <cell r="I655" t="str">
            <v>150 Tonne</v>
          </cell>
        </row>
        <row r="656">
          <cell r="I656" t="str">
            <v>200 Tonne</v>
          </cell>
        </row>
        <row r="657">
          <cell r="I657" t="str">
            <v>250 Tonne</v>
          </cell>
        </row>
        <row r="658">
          <cell r="I658" t="str">
            <v>300 Tonne</v>
          </cell>
        </row>
        <row r="659">
          <cell r="I659" t="str">
            <v>350 Tonne</v>
          </cell>
        </row>
        <row r="660">
          <cell r="I660" t="str">
            <v>400 Tonne</v>
          </cell>
        </row>
        <row r="661">
          <cell r="I661" t="str">
            <v>500 Tonne</v>
          </cell>
        </row>
        <row r="662">
          <cell r="I662" t="str">
            <v>Large</v>
          </cell>
        </row>
        <row r="663">
          <cell r="I663" t="str">
            <v>Medium</v>
          </cell>
        </row>
        <row r="664">
          <cell r="I664" t="str">
            <v>Small</v>
          </cell>
        </row>
        <row r="665">
          <cell r="I665" t="str">
            <v>100 Tonne</v>
          </cell>
        </row>
        <row r="666">
          <cell r="I666" t="str">
            <v>150 Tonne</v>
          </cell>
        </row>
        <row r="667">
          <cell r="I667" t="str">
            <v>200 Tonne</v>
          </cell>
        </row>
        <row r="668">
          <cell r="I668" t="str">
            <v>250 Tonne</v>
          </cell>
        </row>
        <row r="669">
          <cell r="I669" t="str">
            <v>300 Tonne</v>
          </cell>
        </row>
        <row r="670">
          <cell r="I670" t="str">
            <v>350 Tonne</v>
          </cell>
        </row>
        <row r="671">
          <cell r="I671" t="str">
            <v>400 Tonne</v>
          </cell>
        </row>
        <row r="672">
          <cell r="I672" t="str">
            <v>500 Tonne</v>
          </cell>
        </row>
        <row r="673">
          <cell r="I673" t="str">
            <v>Large</v>
          </cell>
        </row>
        <row r="674">
          <cell r="I674" t="str">
            <v>Medium</v>
          </cell>
        </row>
        <row r="675">
          <cell r="I675" t="str">
            <v>Small</v>
          </cell>
        </row>
        <row r="676">
          <cell r="I676" t="str">
            <v>100 Tonne</v>
          </cell>
        </row>
        <row r="677">
          <cell r="I677" t="str">
            <v>150 Tonne</v>
          </cell>
        </row>
        <row r="678">
          <cell r="I678" t="str">
            <v>200 Tonne</v>
          </cell>
        </row>
        <row r="679">
          <cell r="I679" t="str">
            <v>250 Tonne</v>
          </cell>
        </row>
        <row r="680">
          <cell r="I680" t="str">
            <v>300 Tonne</v>
          </cell>
        </row>
        <row r="681">
          <cell r="I681" t="str">
            <v>350 Tonne</v>
          </cell>
        </row>
        <row r="682">
          <cell r="I682" t="str">
            <v>400 Tonne</v>
          </cell>
        </row>
        <row r="683">
          <cell r="I683" t="str">
            <v>500 Tonne</v>
          </cell>
        </row>
        <row r="684">
          <cell r="I684" t="str">
            <v>Large</v>
          </cell>
        </row>
        <row r="685">
          <cell r="I685" t="str">
            <v>Medium</v>
          </cell>
        </row>
        <row r="686">
          <cell r="I686" t="str">
            <v>Small</v>
          </cell>
        </row>
        <row r="687">
          <cell r="I687" t="str">
            <v>100 Tonne</v>
          </cell>
        </row>
        <row r="688">
          <cell r="I688" t="str">
            <v>150 Tonne</v>
          </cell>
        </row>
        <row r="689">
          <cell r="I689" t="str">
            <v>200 Tonne</v>
          </cell>
        </row>
        <row r="690">
          <cell r="I690" t="str">
            <v>250 Tonne</v>
          </cell>
        </row>
        <row r="691">
          <cell r="I691" t="str">
            <v>300 Tonne</v>
          </cell>
        </row>
        <row r="692">
          <cell r="I692" t="str">
            <v>350 Tonne</v>
          </cell>
        </row>
        <row r="693">
          <cell r="I693" t="str">
            <v>400 Tonne</v>
          </cell>
        </row>
        <row r="694">
          <cell r="I694" t="str">
            <v>500 Tonne</v>
          </cell>
        </row>
        <row r="695">
          <cell r="I695" t="str">
            <v>Large</v>
          </cell>
        </row>
        <row r="696">
          <cell r="I696" t="str">
            <v>Medium</v>
          </cell>
        </row>
        <row r="697">
          <cell r="I697" t="str">
            <v>Small</v>
          </cell>
        </row>
        <row r="698">
          <cell r="I698" t="str">
            <v>100 Tonne</v>
          </cell>
        </row>
        <row r="699">
          <cell r="I699" t="str">
            <v>150 Tonne</v>
          </cell>
        </row>
        <row r="700">
          <cell r="I700" t="str">
            <v>200 Tonne</v>
          </cell>
        </row>
        <row r="701">
          <cell r="I701" t="str">
            <v>250 Tonne</v>
          </cell>
        </row>
        <row r="702">
          <cell r="I702" t="str">
            <v>300 Tonne</v>
          </cell>
        </row>
        <row r="703">
          <cell r="I703" t="str">
            <v>350 Tonne</v>
          </cell>
        </row>
        <row r="704">
          <cell r="I704" t="str">
            <v>400 Tonne</v>
          </cell>
        </row>
        <row r="705">
          <cell r="I705" t="str">
            <v>500 Tonne</v>
          </cell>
        </row>
        <row r="706">
          <cell r="I706" t="str">
            <v>Large</v>
          </cell>
        </row>
        <row r="707">
          <cell r="I707" t="str">
            <v>Medium</v>
          </cell>
        </row>
        <row r="708">
          <cell r="I708" t="str">
            <v>Small</v>
          </cell>
        </row>
        <row r="709">
          <cell r="I709" t="str">
            <v>100 Tonne</v>
          </cell>
        </row>
        <row r="710">
          <cell r="I710" t="str">
            <v>150 Tonne</v>
          </cell>
        </row>
        <row r="711">
          <cell r="I711" t="str">
            <v>200 Tonne</v>
          </cell>
        </row>
        <row r="712">
          <cell r="I712" t="str">
            <v>250 Tonne</v>
          </cell>
        </row>
        <row r="713">
          <cell r="I713" t="str">
            <v>300 Tonne</v>
          </cell>
        </row>
        <row r="714">
          <cell r="I714" t="str">
            <v>350 Tonne</v>
          </cell>
        </row>
        <row r="715">
          <cell r="I715" t="str">
            <v>400 Tonne</v>
          </cell>
        </row>
        <row r="716">
          <cell r="I716" t="str">
            <v>500 Tonne</v>
          </cell>
        </row>
        <row r="717">
          <cell r="I717" t="str">
            <v>Large</v>
          </cell>
        </row>
        <row r="718">
          <cell r="I718" t="str">
            <v>Medium</v>
          </cell>
        </row>
        <row r="719">
          <cell r="I719" t="str">
            <v>Small</v>
          </cell>
        </row>
        <row r="720">
          <cell r="I720" t="str">
            <v>Duo 700</v>
          </cell>
        </row>
        <row r="721">
          <cell r="I721" t="str">
            <v>Duo 800</v>
          </cell>
        </row>
        <row r="722">
          <cell r="I722" t="str">
            <v>Victory Combi 110 Tonne</v>
          </cell>
        </row>
        <row r="723">
          <cell r="I723" t="str">
            <v>Victory Combi 200 Tonne</v>
          </cell>
        </row>
        <row r="724">
          <cell r="I724" t="str">
            <v>Victory Combi 300 Tonne</v>
          </cell>
        </row>
        <row r="725">
          <cell r="I725" t="str">
            <v>Victory Combi 400 Tonne</v>
          </cell>
        </row>
        <row r="726">
          <cell r="I726" t="str">
            <v>100 Tonne</v>
          </cell>
        </row>
        <row r="727">
          <cell r="I727" t="str">
            <v>150 Tonne</v>
          </cell>
        </row>
        <row r="728">
          <cell r="I728" t="str">
            <v>200 Tonne</v>
          </cell>
        </row>
        <row r="729">
          <cell r="I729" t="str">
            <v>250 Tonne</v>
          </cell>
        </row>
        <row r="730">
          <cell r="I730" t="str">
            <v>300 Tonne</v>
          </cell>
        </row>
        <row r="731">
          <cell r="I731" t="str">
            <v>350 Tonne</v>
          </cell>
        </row>
        <row r="732">
          <cell r="I732" t="str">
            <v>400 Tonne</v>
          </cell>
        </row>
        <row r="733">
          <cell r="I733" t="str">
            <v>500 Tonne</v>
          </cell>
        </row>
        <row r="734">
          <cell r="I734" t="str">
            <v>Large</v>
          </cell>
        </row>
        <row r="735">
          <cell r="I735" t="str">
            <v>Medium</v>
          </cell>
        </row>
        <row r="736">
          <cell r="I736" t="str">
            <v>Small</v>
          </cell>
        </row>
        <row r="737">
          <cell r="I737" t="str">
            <v>K-TEC 110 Tonne</v>
          </cell>
        </row>
        <row r="738">
          <cell r="I738" t="str">
            <v>K-TEC 155 Tonne</v>
          </cell>
        </row>
        <row r="739">
          <cell r="I739" t="str">
            <v>K-TEC 200 Tonne</v>
          </cell>
        </row>
        <row r="740">
          <cell r="I740" t="str">
            <v>K-TEC 275 Tonne</v>
          </cell>
        </row>
        <row r="741">
          <cell r="I741" t="str">
            <v>K-TEC 350 Tonne</v>
          </cell>
        </row>
        <row r="742">
          <cell r="I742" t="str">
            <v>K-TEC 450 Tonne</v>
          </cell>
        </row>
        <row r="743">
          <cell r="I743" t="str">
            <v>100 Tonne</v>
          </cell>
        </row>
        <row r="744">
          <cell r="I744" t="str">
            <v>150 Tonne</v>
          </cell>
        </row>
        <row r="745">
          <cell r="I745" t="str">
            <v>200 Tonne</v>
          </cell>
        </row>
        <row r="746">
          <cell r="I746" t="str">
            <v>250 Tonne</v>
          </cell>
        </row>
        <row r="747">
          <cell r="I747" t="str">
            <v>300 Tonne</v>
          </cell>
        </row>
        <row r="748">
          <cell r="I748" t="str">
            <v>350 Tonne</v>
          </cell>
        </row>
        <row r="749">
          <cell r="I749" t="str">
            <v>400 Tonne</v>
          </cell>
        </row>
        <row r="750">
          <cell r="I750" t="str">
            <v>500 Tonne</v>
          </cell>
        </row>
        <row r="751">
          <cell r="I751" t="str">
            <v>Large</v>
          </cell>
        </row>
        <row r="752">
          <cell r="I752" t="str">
            <v>Medium</v>
          </cell>
        </row>
        <row r="753">
          <cell r="I753" t="str">
            <v>Small</v>
          </cell>
        </row>
        <row r="754">
          <cell r="I754" t="str">
            <v>100 Tonne</v>
          </cell>
        </row>
        <row r="755">
          <cell r="I755" t="str">
            <v>150 Tonne</v>
          </cell>
        </row>
        <row r="756">
          <cell r="I756" t="str">
            <v>200 Tonne</v>
          </cell>
        </row>
        <row r="757">
          <cell r="I757" t="str">
            <v>250 Tonne</v>
          </cell>
        </row>
        <row r="758">
          <cell r="I758" t="str">
            <v>300 Tonne</v>
          </cell>
        </row>
        <row r="759">
          <cell r="I759" t="str">
            <v>350 Tonne</v>
          </cell>
        </row>
        <row r="760">
          <cell r="I760" t="str">
            <v>400 Tonne</v>
          </cell>
        </row>
        <row r="761">
          <cell r="I761" t="str">
            <v>500 Tonne</v>
          </cell>
        </row>
        <row r="762">
          <cell r="I762" t="str">
            <v>Large</v>
          </cell>
        </row>
        <row r="763">
          <cell r="I763" t="str">
            <v>Medium</v>
          </cell>
        </row>
        <row r="764">
          <cell r="I764" t="str">
            <v>Small</v>
          </cell>
        </row>
        <row r="765">
          <cell r="I765" t="str">
            <v>100 Tonne</v>
          </cell>
        </row>
        <row r="766">
          <cell r="I766" t="str">
            <v>150 Tonne</v>
          </cell>
        </row>
        <row r="767">
          <cell r="I767" t="str">
            <v>200 Tonne</v>
          </cell>
        </row>
        <row r="768">
          <cell r="I768" t="str">
            <v>250 Tonne</v>
          </cell>
        </row>
        <row r="769">
          <cell r="I769" t="str">
            <v>300 Tonne</v>
          </cell>
        </row>
        <row r="770">
          <cell r="I770" t="str">
            <v>350 Tonne</v>
          </cell>
        </row>
        <row r="771">
          <cell r="I771" t="str">
            <v>400 Tonne</v>
          </cell>
        </row>
        <row r="772">
          <cell r="I772" t="str">
            <v>500 Tonne</v>
          </cell>
        </row>
        <row r="773">
          <cell r="I773" t="str">
            <v>Large</v>
          </cell>
        </row>
        <row r="774">
          <cell r="I774" t="str">
            <v>Medium</v>
          </cell>
        </row>
        <row r="775">
          <cell r="I775" t="str">
            <v>Small</v>
          </cell>
        </row>
        <row r="776">
          <cell r="I776" t="str">
            <v>100 Tonne</v>
          </cell>
        </row>
        <row r="777">
          <cell r="I777" t="str">
            <v>150 Tonne</v>
          </cell>
        </row>
        <row r="778">
          <cell r="I778" t="str">
            <v>200 Tonne</v>
          </cell>
        </row>
        <row r="779">
          <cell r="I779" t="str">
            <v>250 Tonne</v>
          </cell>
        </row>
        <row r="780">
          <cell r="I780" t="str">
            <v>300 Tonne</v>
          </cell>
        </row>
        <row r="781">
          <cell r="I781" t="str">
            <v>350 Tonne</v>
          </cell>
        </row>
        <row r="782">
          <cell r="I782" t="str">
            <v>400 Tonne</v>
          </cell>
        </row>
        <row r="783">
          <cell r="I783" t="str">
            <v>500 Tonne</v>
          </cell>
        </row>
        <row r="784">
          <cell r="I784" t="str">
            <v>Large</v>
          </cell>
        </row>
        <row r="785">
          <cell r="I785" t="str">
            <v>Medium</v>
          </cell>
        </row>
        <row r="786">
          <cell r="I786" t="str">
            <v>Small</v>
          </cell>
        </row>
        <row r="787">
          <cell r="I787" t="str">
            <v>100 Tonne</v>
          </cell>
        </row>
        <row r="788">
          <cell r="I788" t="str">
            <v>150 Tonne</v>
          </cell>
        </row>
        <row r="789">
          <cell r="I789" t="str">
            <v>200 Tonne</v>
          </cell>
        </row>
        <row r="790">
          <cell r="I790" t="str">
            <v>250 Tonne</v>
          </cell>
        </row>
        <row r="791">
          <cell r="I791" t="str">
            <v>300 Tonne</v>
          </cell>
        </row>
        <row r="792">
          <cell r="I792" t="str">
            <v>350 Tonne</v>
          </cell>
        </row>
        <row r="793">
          <cell r="I793" t="str">
            <v>400 Tonne</v>
          </cell>
        </row>
        <row r="794">
          <cell r="I794" t="str">
            <v>500 Tonne</v>
          </cell>
        </row>
        <row r="795">
          <cell r="I795" t="str">
            <v>Large</v>
          </cell>
        </row>
        <row r="796">
          <cell r="I796" t="str">
            <v>Medium</v>
          </cell>
        </row>
        <row r="797">
          <cell r="I797" t="str">
            <v>Small</v>
          </cell>
        </row>
        <row r="798">
          <cell r="I798" t="str">
            <v>100 Tonne</v>
          </cell>
        </row>
        <row r="799">
          <cell r="I799" t="str">
            <v>150 Tonne</v>
          </cell>
        </row>
        <row r="800">
          <cell r="I800" t="str">
            <v>200 Tonne</v>
          </cell>
        </row>
        <row r="801">
          <cell r="I801" t="str">
            <v>250 Tonne</v>
          </cell>
        </row>
        <row r="802">
          <cell r="I802" t="str">
            <v>300 Tonne</v>
          </cell>
        </row>
        <row r="803">
          <cell r="I803" t="str">
            <v>350 Tonne</v>
          </cell>
        </row>
        <row r="804">
          <cell r="I804" t="str">
            <v>400 Tonne</v>
          </cell>
        </row>
        <row r="805">
          <cell r="I805" t="str">
            <v>500 Tonne</v>
          </cell>
        </row>
        <row r="806">
          <cell r="I806" t="str">
            <v>Large</v>
          </cell>
        </row>
        <row r="807">
          <cell r="I807" t="str">
            <v>Medium</v>
          </cell>
        </row>
        <row r="808">
          <cell r="I808" t="str">
            <v>Small</v>
          </cell>
        </row>
        <row r="809">
          <cell r="I809" t="str">
            <v>100 Tonne</v>
          </cell>
        </row>
        <row r="810">
          <cell r="I810" t="str">
            <v>150 Tonne</v>
          </cell>
        </row>
        <row r="811">
          <cell r="I811" t="str">
            <v>200 Tonne</v>
          </cell>
        </row>
        <row r="812">
          <cell r="I812" t="str">
            <v>250 Tonne</v>
          </cell>
        </row>
        <row r="813">
          <cell r="I813" t="str">
            <v>300 Tonne</v>
          </cell>
        </row>
        <row r="814">
          <cell r="I814" t="str">
            <v>350 Tonne</v>
          </cell>
        </row>
        <row r="815">
          <cell r="I815" t="str">
            <v>400 Tonne</v>
          </cell>
        </row>
        <row r="816">
          <cell r="I816" t="str">
            <v>500 Tonne</v>
          </cell>
        </row>
        <row r="817">
          <cell r="I817" t="str">
            <v>Large</v>
          </cell>
        </row>
        <row r="818">
          <cell r="I818" t="str">
            <v>Medium</v>
          </cell>
        </row>
        <row r="819">
          <cell r="I819" t="str">
            <v>Small</v>
          </cell>
        </row>
        <row r="820">
          <cell r="I820" t="str">
            <v>100 Tonne</v>
          </cell>
        </row>
        <row r="821">
          <cell r="I821" t="str">
            <v>150 Tonne</v>
          </cell>
        </row>
        <row r="822">
          <cell r="I822" t="str">
            <v>200 Tonne</v>
          </cell>
        </row>
        <row r="823">
          <cell r="I823" t="str">
            <v>250 Tonne</v>
          </cell>
        </row>
        <row r="824">
          <cell r="I824" t="str">
            <v>300 Tonne</v>
          </cell>
        </row>
        <row r="825">
          <cell r="I825" t="str">
            <v>350 Tonne</v>
          </cell>
        </row>
        <row r="826">
          <cell r="I826" t="str">
            <v>400 Tonne</v>
          </cell>
        </row>
        <row r="827">
          <cell r="I827" t="str">
            <v>500 Tonne</v>
          </cell>
        </row>
        <row r="828">
          <cell r="I828" t="str">
            <v>Large</v>
          </cell>
        </row>
        <row r="829">
          <cell r="I829" t="str">
            <v>Medium</v>
          </cell>
        </row>
        <row r="830">
          <cell r="I830" t="str">
            <v>Small</v>
          </cell>
        </row>
        <row r="831">
          <cell r="I831" t="str">
            <v>100 Tonne</v>
          </cell>
        </row>
        <row r="832">
          <cell r="I832" t="str">
            <v>150 Tonne</v>
          </cell>
        </row>
        <row r="833">
          <cell r="I833" t="str">
            <v>200 Tonne</v>
          </cell>
        </row>
        <row r="834">
          <cell r="I834" t="str">
            <v>250 Tonne</v>
          </cell>
        </row>
        <row r="835">
          <cell r="I835" t="str">
            <v>300 Tonne</v>
          </cell>
        </row>
        <row r="836">
          <cell r="I836" t="str">
            <v>350 Tonne</v>
          </cell>
        </row>
        <row r="837">
          <cell r="I837" t="str">
            <v>400 Tonne</v>
          </cell>
        </row>
        <row r="838">
          <cell r="I838" t="str">
            <v>500 Tonne</v>
          </cell>
        </row>
        <row r="839">
          <cell r="I839" t="str">
            <v>Large</v>
          </cell>
        </row>
        <row r="840">
          <cell r="I840" t="str">
            <v>Medium</v>
          </cell>
        </row>
        <row r="841">
          <cell r="I841" t="str">
            <v>Small</v>
          </cell>
        </row>
        <row r="842">
          <cell r="I842" t="str">
            <v>100 Tonne</v>
          </cell>
        </row>
        <row r="843">
          <cell r="I843" t="str">
            <v>150 Tonne</v>
          </cell>
        </row>
        <row r="844">
          <cell r="I844" t="str">
            <v>200 Tonne</v>
          </cell>
        </row>
        <row r="845">
          <cell r="I845" t="str">
            <v>250 Tonne</v>
          </cell>
        </row>
        <row r="846">
          <cell r="I846" t="str">
            <v>300 Tonne</v>
          </cell>
        </row>
        <row r="847">
          <cell r="I847" t="str">
            <v>350 Tonne</v>
          </cell>
        </row>
        <row r="848">
          <cell r="I848" t="str">
            <v>400 Tonne</v>
          </cell>
        </row>
        <row r="849">
          <cell r="I849" t="str">
            <v>500 Tonne</v>
          </cell>
        </row>
        <row r="850">
          <cell r="I850" t="str">
            <v>Large</v>
          </cell>
        </row>
        <row r="851">
          <cell r="I851" t="str">
            <v>Medium</v>
          </cell>
        </row>
        <row r="852">
          <cell r="I852" t="str">
            <v>Small</v>
          </cell>
        </row>
        <row r="853">
          <cell r="I853" t="str">
            <v>100 Tonne</v>
          </cell>
        </row>
        <row r="854">
          <cell r="I854" t="str">
            <v>150 Tonne</v>
          </cell>
        </row>
        <row r="855">
          <cell r="I855" t="str">
            <v>200 Tonne</v>
          </cell>
        </row>
        <row r="856">
          <cell r="I856" t="str">
            <v>250 Tonne</v>
          </cell>
        </row>
        <row r="857">
          <cell r="I857" t="str">
            <v>300 Tonne</v>
          </cell>
        </row>
        <row r="858">
          <cell r="I858" t="str">
            <v>350 Tonne</v>
          </cell>
        </row>
        <row r="859">
          <cell r="I859" t="str">
            <v>400 Tonne</v>
          </cell>
        </row>
        <row r="860">
          <cell r="I860" t="str">
            <v>500 Tonne</v>
          </cell>
        </row>
        <row r="861">
          <cell r="I861" t="str">
            <v>Large</v>
          </cell>
        </row>
        <row r="862">
          <cell r="I862" t="str">
            <v>Medium</v>
          </cell>
        </row>
        <row r="863">
          <cell r="I863" t="str">
            <v>Small</v>
          </cell>
        </row>
        <row r="864">
          <cell r="I864" t="str">
            <v>K-TEC 200 Tonne Cube</v>
          </cell>
        </row>
        <row r="865">
          <cell r="I865" t="str">
            <v>K-TEC 350 Tonne Cube</v>
          </cell>
        </row>
        <row r="866">
          <cell r="I866" t="str">
            <v>K-TEC 450 Tonne Cube</v>
          </cell>
        </row>
        <row r="867">
          <cell r="I867" t="str">
            <v>ISBM - 1 Step - 10 Cavity</v>
          </cell>
        </row>
        <row r="868">
          <cell r="I868" t="str">
            <v>ISBM - 1 Step - 12 Cavity</v>
          </cell>
        </row>
        <row r="869">
          <cell r="I869" t="str">
            <v>ISBM - 1 Step - 16 Cavity</v>
          </cell>
        </row>
        <row r="870">
          <cell r="I870" t="str">
            <v>ISBM - 1 Step - 24 Cavity</v>
          </cell>
        </row>
        <row r="871">
          <cell r="I871" t="str">
            <v>ISBM - 1 Step - 28 Cavity</v>
          </cell>
        </row>
        <row r="872">
          <cell r="I872" t="str">
            <v>ISBM - 1 Step - 4 Cavity</v>
          </cell>
        </row>
        <row r="873">
          <cell r="I873" t="str">
            <v>ISBM - 1 Step - 8 Cavity</v>
          </cell>
        </row>
        <row r="874">
          <cell r="I874" t="str">
            <v>50 MB 2 -4 cavity</v>
          </cell>
        </row>
        <row r="875">
          <cell r="I875" t="str">
            <v>70DPH</v>
          </cell>
        </row>
        <row r="876">
          <cell r="I876" t="str">
            <v>70DPW</v>
          </cell>
        </row>
        <row r="877">
          <cell r="I877" t="str">
            <v>ASB-12M</v>
          </cell>
        </row>
        <row r="878">
          <cell r="I878" t="str">
            <v>ASB-150DP</v>
          </cell>
        </row>
        <row r="879">
          <cell r="I879" t="str">
            <v>ASB-150DPW</v>
          </cell>
        </row>
        <row r="880">
          <cell r="I880" t="str">
            <v>ISBM - 1 Step - 10 Cavity</v>
          </cell>
        </row>
        <row r="881">
          <cell r="I881" t="str">
            <v>ISBM - 1 Step - 12 Cavity</v>
          </cell>
        </row>
        <row r="882">
          <cell r="I882" t="str">
            <v>ISBM - 1 Step - 16 Cavity</v>
          </cell>
        </row>
        <row r="883">
          <cell r="I883" t="str">
            <v>ISBM - 1 Step - 24 Cavity</v>
          </cell>
        </row>
        <row r="884">
          <cell r="I884" t="str">
            <v>ISBM - 1 Step - 28 Cavity</v>
          </cell>
        </row>
        <row r="885">
          <cell r="I885" t="str">
            <v>ISBM - 1 Step - 4 Cavity</v>
          </cell>
        </row>
        <row r="886">
          <cell r="I886" t="str">
            <v>ISBM - 1 Step - 8 Cavity</v>
          </cell>
        </row>
        <row r="887">
          <cell r="I887" t="str">
            <v>PF24-8B</v>
          </cell>
        </row>
        <row r="888">
          <cell r="I888" t="str">
            <v>PF6-2B</v>
          </cell>
        </row>
        <row r="889">
          <cell r="I889" t="str">
            <v>PF8-4B</v>
          </cell>
        </row>
        <row r="890">
          <cell r="I890" t="str">
            <v>ISBM - 1 Step - 10 Cavity</v>
          </cell>
        </row>
        <row r="891">
          <cell r="I891" t="str">
            <v>ISBM - 1 Step - 12 Cavity</v>
          </cell>
        </row>
        <row r="892">
          <cell r="I892" t="str">
            <v>ISBM - 1 Step - 16 Cavity</v>
          </cell>
        </row>
        <row r="893">
          <cell r="I893" t="str">
            <v>ISBM - 1 Step - 24 Cavity</v>
          </cell>
        </row>
        <row r="894">
          <cell r="I894" t="str">
            <v>ISBM - 1 Step - 28 Cavity</v>
          </cell>
        </row>
        <row r="895">
          <cell r="I895" t="str">
            <v>ISBM - 1 Step - 4 Cavity</v>
          </cell>
        </row>
        <row r="896">
          <cell r="I896" t="str">
            <v>ISBM - 1 Step - 8 Cavity</v>
          </cell>
        </row>
        <row r="897">
          <cell r="I897" t="str">
            <v>ISBM - 1 Step - 10 Cavity</v>
          </cell>
        </row>
        <row r="898">
          <cell r="I898" t="str">
            <v>ISBM - 1 Step - 12 Cavity</v>
          </cell>
        </row>
        <row r="899">
          <cell r="I899" t="str">
            <v>ISBM - 1 Step - 16 Cavity</v>
          </cell>
        </row>
        <row r="900">
          <cell r="I900" t="str">
            <v>ISBM - 1 Step - 24 Cavity</v>
          </cell>
        </row>
        <row r="901">
          <cell r="I901" t="str">
            <v>ISBM - 1 Step - 28 Cavity</v>
          </cell>
        </row>
        <row r="902">
          <cell r="I902" t="str">
            <v>ISBM - 1 Step - 4 Cavity</v>
          </cell>
        </row>
        <row r="903">
          <cell r="I903" t="str">
            <v>ISBM - 1 Step - 8 Cavity</v>
          </cell>
        </row>
        <row r="904">
          <cell r="I904" t="str">
            <v>Large</v>
          </cell>
        </row>
        <row r="905">
          <cell r="I905" t="str">
            <v>Medium</v>
          </cell>
        </row>
        <row r="906">
          <cell r="I906" t="str">
            <v>Small</v>
          </cell>
        </row>
        <row r="907">
          <cell r="I907" t="str">
            <v>ISBM - 1 Step - 10 Cavity</v>
          </cell>
        </row>
        <row r="908">
          <cell r="I908" t="str">
            <v>ISBM - 1 Step - 12 Cavity</v>
          </cell>
        </row>
        <row r="909">
          <cell r="I909" t="str">
            <v>ISBM - 1 Step - 16 Cavity</v>
          </cell>
        </row>
        <row r="910">
          <cell r="I910" t="str">
            <v>ISBM - 1 Step - 24 Cavity</v>
          </cell>
        </row>
        <row r="911">
          <cell r="I911" t="str">
            <v>ISBM - 1 Step - 28 Cavity</v>
          </cell>
        </row>
        <row r="912">
          <cell r="I912" t="str">
            <v>ISBM - 1 Step - 4 Cavity</v>
          </cell>
        </row>
        <row r="913">
          <cell r="I913" t="str">
            <v>ISBM - 1 Step - 8 Cavity</v>
          </cell>
        </row>
        <row r="914">
          <cell r="I914" t="str">
            <v>ISBM - 2 Step Blow - 6 Station</v>
          </cell>
        </row>
        <row r="915">
          <cell r="I915" t="str">
            <v>ISBM - 4 Station</v>
          </cell>
        </row>
        <row r="916">
          <cell r="I916" t="str">
            <v>Contiform S - 12 Station</v>
          </cell>
        </row>
        <row r="917">
          <cell r="I917" t="str">
            <v>Contiform S - 16 Station</v>
          </cell>
        </row>
        <row r="918">
          <cell r="I918" t="str">
            <v>Contiform S - 20 Station</v>
          </cell>
        </row>
        <row r="919">
          <cell r="I919" t="str">
            <v>Contiform S - 8 Station</v>
          </cell>
        </row>
        <row r="920">
          <cell r="I920" t="str">
            <v>ISBM - 2 Step Blow - 10 Station</v>
          </cell>
        </row>
        <row r="921">
          <cell r="I921" t="str">
            <v>ISBM - 2 Step Blow - 12 Station</v>
          </cell>
        </row>
        <row r="922">
          <cell r="I922" t="str">
            <v>ISBM - 2 Step Blow - 14 Station</v>
          </cell>
        </row>
        <row r="923">
          <cell r="I923" t="str">
            <v>ISBM - 2 Step Blow - 16 Station</v>
          </cell>
        </row>
        <row r="924">
          <cell r="I924" t="str">
            <v>ISBM - 2 Step Blow - 18 Station</v>
          </cell>
        </row>
        <row r="925">
          <cell r="I925" t="str">
            <v>ISBM - 2 Step Blow - 2 Station</v>
          </cell>
        </row>
        <row r="926">
          <cell r="I926" t="str">
            <v>ISBM - 2 Step Blow - 20 Station</v>
          </cell>
        </row>
        <row r="927">
          <cell r="I927" t="str">
            <v>ISBM - 2 Step Blow - 24 Station</v>
          </cell>
        </row>
        <row r="928">
          <cell r="I928" t="str">
            <v>ISBM - 2 Step Blow - 28 Station</v>
          </cell>
        </row>
        <row r="929">
          <cell r="I929" t="str">
            <v>ISBM - 2 Step Blow - 4 Station</v>
          </cell>
        </row>
        <row r="930">
          <cell r="I930" t="str">
            <v>ISBM - 2 Step Blow - 6 Station</v>
          </cell>
        </row>
        <row r="931">
          <cell r="I931" t="str">
            <v>ISBM - 2 Step Blow - 8 Station</v>
          </cell>
        </row>
        <row r="932">
          <cell r="I932" t="str">
            <v>Large</v>
          </cell>
        </row>
        <row r="933">
          <cell r="I933" t="str">
            <v>Medium</v>
          </cell>
        </row>
        <row r="934">
          <cell r="I934" t="str">
            <v>Small</v>
          </cell>
        </row>
        <row r="935">
          <cell r="I935" t="str">
            <v>50 ton - 2 Station TMS 1002e</v>
          </cell>
        </row>
        <row r="936">
          <cell r="I936" t="str">
            <v>95 ton 4 station TMS 2004e</v>
          </cell>
        </row>
        <row r="937">
          <cell r="I937" t="str">
            <v>ISBM - 2 Step Blow - 10 Station</v>
          </cell>
        </row>
        <row r="938">
          <cell r="I938" t="str">
            <v>ISBM - 2 Step Blow - 12 Station</v>
          </cell>
        </row>
        <row r="939">
          <cell r="I939" t="str">
            <v>ISBM - 2 Step Blow - 14 Station</v>
          </cell>
        </row>
        <row r="940">
          <cell r="I940" t="str">
            <v>ISBM - 2 Step Blow - 16 Station</v>
          </cell>
        </row>
        <row r="941">
          <cell r="I941" t="str">
            <v>ISBM - 2 Step Blow - 18 Station</v>
          </cell>
        </row>
        <row r="942">
          <cell r="I942" t="str">
            <v>ISBM - 2 Step Blow - 2 Station</v>
          </cell>
        </row>
        <row r="943">
          <cell r="I943" t="str">
            <v>ISBM - 2 Step Blow - 20 Station</v>
          </cell>
        </row>
        <row r="944">
          <cell r="I944" t="str">
            <v>ISBM - 2 Step Blow - 24 Station</v>
          </cell>
        </row>
        <row r="945">
          <cell r="I945" t="str">
            <v>ISBM - 2 Step Blow - 28 Station</v>
          </cell>
        </row>
        <row r="946">
          <cell r="I946" t="str">
            <v>ISBM - 2 Step Blow - 4 Station</v>
          </cell>
        </row>
        <row r="947">
          <cell r="I947" t="str">
            <v>ISBM - 2 Step Blow - 6 Station</v>
          </cell>
        </row>
        <row r="948">
          <cell r="I948" t="str">
            <v>ISBM - 2 Step Blow - 8 Station</v>
          </cell>
        </row>
        <row r="949">
          <cell r="I949" t="str">
            <v>SBO 10</v>
          </cell>
        </row>
        <row r="950">
          <cell r="I950" t="str">
            <v>SBO 10 Preferential Heating</v>
          </cell>
        </row>
        <row r="951">
          <cell r="I951" t="str">
            <v>SBO 14 Preferential Heating</v>
          </cell>
        </row>
        <row r="952">
          <cell r="I952" t="str">
            <v>SBO 14/20</v>
          </cell>
        </row>
        <row r="953">
          <cell r="I953" t="str">
            <v>SBO 16 Preferential Heating</v>
          </cell>
        </row>
        <row r="954">
          <cell r="I954" t="str">
            <v>SBO 16/20</v>
          </cell>
        </row>
        <row r="955">
          <cell r="I955" t="str">
            <v>SBO 20</v>
          </cell>
        </row>
        <row r="956">
          <cell r="I956" t="str">
            <v>SBO 20 Preferential Heating</v>
          </cell>
        </row>
        <row r="957">
          <cell r="I957" t="str">
            <v>SBO 26</v>
          </cell>
        </row>
        <row r="958">
          <cell r="I958" t="str">
            <v>SBO 2XL</v>
          </cell>
        </row>
        <row r="959">
          <cell r="I959" t="str">
            <v>SBO 4C</v>
          </cell>
        </row>
        <row r="960">
          <cell r="I960" t="str">
            <v>SBO 4C Preferential Heating</v>
          </cell>
        </row>
        <row r="961">
          <cell r="I961" t="str">
            <v>SBO 6 Preferential Heating</v>
          </cell>
        </row>
        <row r="962">
          <cell r="I962" t="str">
            <v>SBO 6/8</v>
          </cell>
        </row>
        <row r="963">
          <cell r="I963" t="str">
            <v>SBO 8 Preferential Heating</v>
          </cell>
        </row>
        <row r="964">
          <cell r="I964" t="str">
            <v>SBO 8/10</v>
          </cell>
        </row>
        <row r="965">
          <cell r="I965" t="str">
            <v>ISBM - 2 Step Blow - 10 Station</v>
          </cell>
        </row>
        <row r="966">
          <cell r="I966" t="str">
            <v>ISBM - 2 Step Blow - 12 Station</v>
          </cell>
        </row>
        <row r="967">
          <cell r="I967" t="str">
            <v>ISBM - 2 Step Blow - 14 Station</v>
          </cell>
        </row>
        <row r="968">
          <cell r="I968" t="str">
            <v>ISBM - 2 Step Blow - 16 Station</v>
          </cell>
        </row>
        <row r="969">
          <cell r="I969" t="str">
            <v>ISBM - 2 Step Blow - 18 Station</v>
          </cell>
        </row>
        <row r="970">
          <cell r="I970" t="str">
            <v>ISBM - 2 Step Blow - 2 Station</v>
          </cell>
        </row>
        <row r="971">
          <cell r="I971" t="str">
            <v>ISBM - 2 Step Blow - 20 Station</v>
          </cell>
        </row>
        <row r="972">
          <cell r="I972" t="str">
            <v>ISBM - 2 Step Blow - 24 Station</v>
          </cell>
        </row>
        <row r="973">
          <cell r="I973" t="str">
            <v>ISBM - 2 Step Blow - 28 Station</v>
          </cell>
        </row>
        <row r="974">
          <cell r="I974" t="str">
            <v>ISBM - 2 Step Blow - 4 Station</v>
          </cell>
        </row>
        <row r="975">
          <cell r="I975" t="str">
            <v>ISBM - 2 Step Blow - 6 Station</v>
          </cell>
        </row>
        <row r="976">
          <cell r="I976" t="str">
            <v>ISBM - 2 Step Blow - 8 Station</v>
          </cell>
        </row>
        <row r="977">
          <cell r="I977" t="str">
            <v>100 Tonne</v>
          </cell>
        </row>
        <row r="978">
          <cell r="I978" t="str">
            <v>150 Tonne</v>
          </cell>
        </row>
        <row r="979">
          <cell r="I979" t="str">
            <v>200 Tonne</v>
          </cell>
        </row>
        <row r="980">
          <cell r="I980" t="str">
            <v>250 Tonne</v>
          </cell>
        </row>
        <row r="981">
          <cell r="I981" t="str">
            <v>300 Tonne</v>
          </cell>
        </row>
        <row r="982">
          <cell r="I982" t="str">
            <v>350 Tonne</v>
          </cell>
        </row>
        <row r="983">
          <cell r="I983" t="str">
            <v>400 Tonne</v>
          </cell>
        </row>
        <row r="984">
          <cell r="I984" t="str">
            <v>500 Tonne</v>
          </cell>
        </row>
        <row r="985">
          <cell r="I985" t="str">
            <v>Large</v>
          </cell>
        </row>
        <row r="986">
          <cell r="I986" t="str">
            <v>Medium</v>
          </cell>
        </row>
        <row r="987">
          <cell r="I987" t="str">
            <v>Small</v>
          </cell>
        </row>
        <row r="988">
          <cell r="I988" t="str">
            <v>100 Tonne</v>
          </cell>
        </row>
        <row r="989">
          <cell r="I989" t="str">
            <v>150 Tonne</v>
          </cell>
        </row>
        <row r="990">
          <cell r="I990" t="str">
            <v>200 Tonne</v>
          </cell>
        </row>
        <row r="991">
          <cell r="I991" t="str">
            <v>250 Tonne</v>
          </cell>
        </row>
        <row r="992">
          <cell r="I992" t="str">
            <v>300 Tonne</v>
          </cell>
        </row>
        <row r="993">
          <cell r="I993" t="str">
            <v>350 Tonne</v>
          </cell>
        </row>
        <row r="994">
          <cell r="I994" t="str">
            <v>400 Tonne</v>
          </cell>
        </row>
        <row r="995">
          <cell r="I995" t="str">
            <v>500 Tonne</v>
          </cell>
        </row>
        <row r="996">
          <cell r="I996" t="str">
            <v>Large</v>
          </cell>
        </row>
        <row r="997">
          <cell r="I997" t="str">
            <v>Medium</v>
          </cell>
        </row>
        <row r="998">
          <cell r="I998" t="str">
            <v>Small</v>
          </cell>
        </row>
        <row r="999">
          <cell r="I999" t="str">
            <v>100 Tonne</v>
          </cell>
        </row>
        <row r="1000">
          <cell r="I1000" t="str">
            <v>150 Tonne</v>
          </cell>
        </row>
        <row r="1001">
          <cell r="I1001" t="str">
            <v>200 Tonne</v>
          </cell>
        </row>
        <row r="1002">
          <cell r="I1002" t="str">
            <v>250 Tonne</v>
          </cell>
        </row>
        <row r="1003">
          <cell r="I1003" t="str">
            <v>300 Tonne</v>
          </cell>
        </row>
        <row r="1004">
          <cell r="I1004" t="str">
            <v>300-3500 48 Cavity</v>
          </cell>
        </row>
        <row r="1005">
          <cell r="I1005" t="str">
            <v>300-3500 72 Cavity</v>
          </cell>
        </row>
        <row r="1006">
          <cell r="I1006" t="str">
            <v>300-4500 96 Cavity</v>
          </cell>
        </row>
        <row r="1007">
          <cell r="I1007" t="str">
            <v>350 Tonne</v>
          </cell>
        </row>
        <row r="1008">
          <cell r="I1008" t="str">
            <v>400 Tonne</v>
          </cell>
        </row>
        <row r="1009">
          <cell r="I1009" t="str">
            <v>500 Tonne</v>
          </cell>
        </row>
        <row r="1010">
          <cell r="I1010" t="str">
            <v>Large</v>
          </cell>
        </row>
        <row r="1011">
          <cell r="I1011" t="str">
            <v>Medium</v>
          </cell>
        </row>
        <row r="1012">
          <cell r="I1012" t="str">
            <v>Small</v>
          </cell>
        </row>
        <row r="1013">
          <cell r="I1013" t="str">
            <v>100 Tonne</v>
          </cell>
        </row>
        <row r="1014">
          <cell r="I1014" t="str">
            <v>150 Tonne</v>
          </cell>
        </row>
        <row r="1015">
          <cell r="I1015" t="str">
            <v>200 Tonne</v>
          </cell>
        </row>
        <row r="1016">
          <cell r="I1016" t="str">
            <v>250 Tonne</v>
          </cell>
        </row>
        <row r="1017">
          <cell r="I1017" t="str">
            <v>300 Tonne</v>
          </cell>
        </row>
        <row r="1018">
          <cell r="I1018" t="str">
            <v>350 Tonne</v>
          </cell>
        </row>
        <row r="1019">
          <cell r="I1019" t="str">
            <v>400 Tonne</v>
          </cell>
        </row>
        <row r="1020">
          <cell r="I1020" t="str">
            <v>500 Tonne</v>
          </cell>
        </row>
        <row r="1021">
          <cell r="I1021" t="str">
            <v>Large</v>
          </cell>
        </row>
        <row r="1022">
          <cell r="I1022" t="str">
            <v>Medium</v>
          </cell>
        </row>
        <row r="1023">
          <cell r="I1023" t="str">
            <v>Small</v>
          </cell>
        </row>
        <row r="1024">
          <cell r="I1024" t="str">
            <v>200 Tonne 48 Cavity</v>
          </cell>
        </row>
        <row r="1025">
          <cell r="I1025" t="str">
            <v>400 Tonne 128 Cavity</v>
          </cell>
        </row>
        <row r="1026">
          <cell r="I1026" t="str">
            <v>400 Tonne 72 Cavity</v>
          </cell>
        </row>
        <row r="1027">
          <cell r="I1027" t="str">
            <v>400 Tonne 96 Cavity</v>
          </cell>
        </row>
        <row r="1028">
          <cell r="I1028" t="str">
            <v>600 Tonne 144 Cavity</v>
          </cell>
        </row>
        <row r="1029">
          <cell r="I1029" t="str">
            <v>600 Tonne 192 cavity</v>
          </cell>
        </row>
        <row r="1030">
          <cell r="I1030"/>
        </row>
      </sheetData>
      <sheetData sheetId="38" refreshError="1"/>
      <sheetData sheetId="39" refreshError="1"/>
      <sheetData sheetId="40" refreshError="1"/>
      <sheetData sheetId="41">
        <row r="9">
          <cell r="V9" t="str">
            <v>Injection Mono</v>
          </cell>
        </row>
        <row r="10">
          <cell r="V10" t="str">
            <v>Injection Multi</v>
          </cell>
        </row>
        <row r="11">
          <cell r="V11" t="str">
            <v>Injection Blow</v>
          </cell>
        </row>
        <row r="12">
          <cell r="V12" t="str">
            <v>Blow Mono</v>
          </cell>
        </row>
        <row r="13">
          <cell r="V13" t="str">
            <v>Blow Multi</v>
          </cell>
        </row>
        <row r="14">
          <cell r="V14" t="str">
            <v>Blow Wheel Mono</v>
          </cell>
        </row>
        <row r="15">
          <cell r="V15" t="str">
            <v>Blow Wheel Multi</v>
          </cell>
        </row>
        <row r="16">
          <cell r="V16" t="str">
            <v>ISBM - 1 Step</v>
          </cell>
        </row>
        <row r="17">
          <cell r="V17" t="str">
            <v>ISBM - 2 Step Preform</v>
          </cell>
        </row>
        <row r="18">
          <cell r="V18" t="str">
            <v>ISBM - 2 Step Blow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aman Mishra" id="{33C29E58-9346-4094-92F4-02F620B600A2}" userId="S::naman.mishra@packfora.com::9a1c04cd-5285-4414-ac97-33d2269d08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5-11-25T04:20:44.49" personId="{33C29E58-9346-4094-92F4-02F620B600A2}" id="{CF90CCBA-247B-4867-A051-E54D9C5DEB47}">
    <text>https://www.globalpetrolprices.com/Argentina/electricity_prices/</text>
    <extLst>
      <x:ext xmlns:xltc2="http://schemas.microsoft.com/office/spreadsheetml/2020/threadedcomments2" uri="{F7C98A9C-CBB3-438F-8F68-D28B6AF4A901}">
        <xltc2:checksum>3039485925</xltc2:checksum>
        <xltc2:hyperlink startIndex="0" length="64" url="https://www.globalpetrolprices.com/Argentina/electricity_prices/"/>
      </x:ext>
    </extLst>
  </threadedComment>
  <threadedComment ref="E11" dT="2025-12-03T04:14:27.65" personId="{33C29E58-9346-4094-92F4-02F620B600A2}" id="{0A2AEF22-FC43-4D41-AB0E-8505CDB406CC}">
    <text>https://www.glassdoor.co.in/Salaries/buenos-aires-machine-operator-salary-SRCH_IL.0,12_IM963_KO13,29.htm?countryRedirect=true</text>
    <extLst>
      <x:ext xmlns:xltc2="http://schemas.microsoft.com/office/spreadsheetml/2020/threadedcomments2" uri="{F7C98A9C-CBB3-438F-8F68-D28B6AF4A901}">
        <xltc2:checksum>2764900475</xltc2:checksum>
        <xltc2:hyperlink startIndex="0" length="125" url="https://www.glassdoor.co.in/Salaries/buenos-aires-machine-operator-salary-SRCH_IL.0,12_IM963_KO13,29.htm?countryRedirect=true"/>
      </x:ext>
    </extLst>
  </threadedComment>
  <threadedComment ref="F11" dT="2025-12-03T04:22:58.09" personId="{33C29E58-9346-4094-92F4-02F620B600A2}" id="{4489F010-5D18-463D-8587-B047746CA6B1}">
    <text>https://www.glassdoor.co.in/Salaries/buenos-aires-manufacturing-engineer-salary-SRCH_IL.0,12_IM963_KO13,35.htm?countryRedirect=true</text>
    <extLst>
      <x:ext xmlns:xltc2="http://schemas.microsoft.com/office/spreadsheetml/2020/threadedcomments2" uri="{F7C98A9C-CBB3-438F-8F68-D28B6AF4A901}">
        <xltc2:checksum>3591975616</xltc2:checksum>
        <xltc2:hyperlink startIndex="0" length="131" url="https://www.glassdoor.co.in/Salaries/buenos-aires-manufacturing-engineer-salary-SRCH_IL.0,12_IM963_KO13,35.htm?countryRedirect=true"/>
      </x:ext>
    </extLst>
  </threadedComment>
  <threadedComment ref="G11" dT="2025-12-03T04:25:27.96" personId="{33C29E58-9346-4094-92F4-02F620B600A2}" id="{93D77A20-298D-4197-B6C8-C0A81336A5DC}">
    <text>https://www.glassdoor.co.in/Salaries/argentina-production-manager-salary-SRCH_IL.0,9_IN15_KO10,28.htm?countryRedirect=true</text>
    <extLst>
      <x:ext xmlns:xltc2="http://schemas.microsoft.com/office/spreadsheetml/2020/threadedcomments2" uri="{F7C98A9C-CBB3-438F-8F68-D28B6AF4A901}">
        <xltc2:checksum>1955380725</xltc2:checksum>
        <xltc2:hyperlink startIndex="0" length="122" url="https://www.glassdoor.co.in/Salaries/argentina-production-manager-salary-SRCH_IL.0,9_IN15_KO10,28.htm?countryRedirect=true"/>
      </x:ext>
    </extLst>
  </threadedComment>
  <threadedComment ref="I11" dT="2025-12-01T06:25:19.23" personId="{33C29E58-9346-4094-92F4-02F620B600A2}" id="{49E5386A-660F-4E23-B7DF-152716317882}">
    <text>https://taxsummaries.pwc.com/argentina/corporate/deductions</text>
    <extLst>
      <x:ext xmlns:xltc2="http://schemas.microsoft.com/office/spreadsheetml/2020/threadedcomments2" uri="{F7C98A9C-CBB3-438F-8F68-D28B6AF4A901}">
        <xltc2:checksum>2519445080</xltc2:checksum>
        <xltc2:hyperlink startIndex="0" length="59" url="https://taxsummaries.pwc.com/argentina/corporate/deductions"/>
      </x:ext>
    </extLst>
  </threadedComment>
  <threadedComment ref="J11" dT="2025-12-04T04:00:28.90" personId="{33C29E58-9346-4094-92F4-02F620B600A2}" id="{932D5135-51EC-4616-ABB8-DB4D857DA646}">
    <text>https://www.properstar.co.uk/listing/112089102</text>
    <extLst>
      <x:ext xmlns:xltc2="http://schemas.microsoft.com/office/spreadsheetml/2020/threadedcomments2" uri="{F7C98A9C-CBB3-438F-8F68-D28B6AF4A901}">
        <xltc2:checksum>246669665</xltc2:checksum>
        <xltc2:hyperlink startIndex="0" length="46" url="https://www.properstar.co.uk/listing/112089102"/>
      </x:ext>
    </extLst>
  </threadedComment>
  <threadedComment ref="L11" dT="2025-12-04T07:36:20.50" personId="{33C29E58-9346-4094-92F4-02F620B600A2}" id="{4E719614-4F12-4E6E-B200-FD7E371B1BCE}">
    <text>https://www.realtor.com/international/ar/av-brig-gral-juan-m-de-rosas-no-n-2969-san-martin-gran-bs-as-noroeste-buenos-aires-120089862681/</text>
    <extLst>
      <x:ext xmlns:xltc2="http://schemas.microsoft.com/office/spreadsheetml/2020/threadedcomments2" uri="{F7C98A9C-CBB3-438F-8F68-D28B6AF4A901}">
        <xltc2:checksum>3066508055</xltc2:checksum>
        <xltc2:hyperlink startIndex="0" length="137" url="https://www.realtor.com/international/ar/av-brig-gral-juan-m-de-rosas-no-n-2969-san-martin-gran-bs-as-noroeste-buenos-aires-120089862681/"/>
      </x:ext>
    </extLst>
  </threadedComment>
  <threadedComment ref="M11" dT="2025-12-04T08:41:10.56" personId="{33C29E58-9346-4094-92F4-02F620B600A2}" id="{036559AE-12DD-49A0-B344-4654EC963F38}">
    <text>https://www.economy.com/argentina/lending-rate</text>
    <extLst>
      <x:ext xmlns:xltc2="http://schemas.microsoft.com/office/spreadsheetml/2020/threadedcomments2" uri="{F7C98A9C-CBB3-438F-8F68-D28B6AF4A901}">
        <xltc2:checksum>498770013</xltc2:checksum>
        <xltc2:hyperlink startIndex="0" length="46" url="https://www.economy.com/argentina/lending-rate"/>
      </x:ext>
    </extLst>
  </threadedComment>
  <threadedComment ref="N11" dT="2025-12-04T08:41:10.56" personId="{33C29E58-9346-4094-92F4-02F620B600A2}" id="{8D760342-0CA1-442E-93CF-7EC6DF76B3EC}">
    <text>https://www.economy.com/argentina/lending-rate</text>
    <extLst>
      <x:ext xmlns:xltc2="http://schemas.microsoft.com/office/spreadsheetml/2020/threadedcomments2" uri="{F7C98A9C-CBB3-438F-8F68-D28B6AF4A901}">
        <xltc2:checksum>498770013</xltc2:checksum>
        <xltc2:hyperlink startIndex="0" length="46" url="https://www.economy.com/argentina/lending-rate"/>
      </x:ext>
    </extLst>
  </threadedComment>
  <threadedComment ref="D13" dT="2025-11-25T04:16:59.59" personId="{33C29E58-9346-4094-92F4-02F620B600A2}" id="{2882B990-175D-4570-8B9F-47A92D92413E}">
    <text>https://www.globalpetrolprices.com/Brazil/electricity_prices/</text>
    <extLst>
      <x:ext xmlns:xltc2="http://schemas.microsoft.com/office/spreadsheetml/2020/threadedcomments2" uri="{F7C98A9C-CBB3-438F-8F68-D28B6AF4A901}">
        <xltc2:checksum>1769162758</xltc2:checksum>
        <xltc2:hyperlink startIndex="0" length="61" url="https://www.globalpetrolprices.com/Brazil/electricity_prices/"/>
      </x:ext>
    </extLst>
  </threadedComment>
  <threadedComment ref="E13" dT="2025-12-03T09:43:32.67" personId="{33C29E58-9346-4094-92F4-02F620B600A2}" id="{E6A865DA-19B9-4873-9697-7B4196782826}">
    <text>https://www.glassdoor.co.in/Salaries/brazil-in-machine-operator-salary-SRCH_IL.0,9_IC1145273_KO10,26.htm</text>
    <extLst>
      <x:ext xmlns:xltc2="http://schemas.microsoft.com/office/spreadsheetml/2020/threadedcomments2" uri="{F7C98A9C-CBB3-438F-8F68-D28B6AF4A901}">
        <xltc2:checksum>1229794634</xltc2:checksum>
        <xltc2:hyperlink startIndex="0" length="104" url="https://www.glassdoor.co.in/Salaries/brazil-in-machine-operator-salary-SRCH_IL.0,9_IC1145273_KO10,26.htm"/>
      </x:ext>
    </extLst>
  </threadedComment>
  <threadedComment ref="F13" dT="2025-12-03T09:44:14.54" personId="{33C29E58-9346-4094-92F4-02F620B600A2}" id="{6455A3F5-2929-413B-9890-7502EAE5FA17}">
    <text xml:space="preserve">https://www.glassdoor.co.in/Salaries/brazil-manufacturing-engineer-salary-SRCH_IL.0,6_IN36_KO7,29.htm?countryRedirect=true
</text>
    <extLst>
      <x:ext xmlns:xltc2="http://schemas.microsoft.com/office/spreadsheetml/2020/threadedcomments2" uri="{F7C98A9C-CBB3-438F-8F68-D28B6AF4A901}">
        <xltc2:checksum>3426480717</xltc2:checksum>
        <xltc2:hyperlink startIndex="0" length="122" url="https://www.glassdoor.co.in/Salaries/brazil-manufacturing-engineer-salary-SRCH_IL.0,6_IN36_KO7,29.htm?countryRedirect=true"/>
      </x:ext>
    </extLst>
  </threadedComment>
  <threadedComment ref="G13" dT="2025-12-03T09:44:18.66" personId="{33C29E58-9346-4094-92F4-02F620B600A2}" id="{A170BB81-1161-4FD1-9731-F965F0DB2386}">
    <text>https://www.glassdoor.co.in/Salaries/sao-paulo-brazil-production-manager-salary-SRCH_IL.0,16_IM1009_KO17,35.htm</text>
    <extLst>
      <x:ext xmlns:xltc2="http://schemas.microsoft.com/office/spreadsheetml/2020/threadedcomments2" uri="{F7C98A9C-CBB3-438F-8F68-D28B6AF4A901}">
        <xltc2:checksum>1902917058</xltc2:checksum>
        <xltc2:hyperlink startIndex="0" length="111" url="https://www.glassdoor.co.in/Salaries/sao-paulo-brazil-production-manager-salary-SRCH_IL.0,16_IM1009_KO17,35.htm"/>
      </x:ext>
    </extLst>
  </threadedComment>
  <threadedComment ref="H13" dT="2025-12-01T06:29:25.84" personId="{33C29E58-9346-4094-92F4-02F620B600A2}" id="{D0211117-BC3E-41FF-A545-63E874C3CD95}">
    <text>https://taxsummaries.pwc.com/brazil/corporate/deductions</text>
    <extLst>
      <x:ext xmlns:xltc2="http://schemas.microsoft.com/office/spreadsheetml/2020/threadedcomments2" uri="{F7C98A9C-CBB3-438F-8F68-D28B6AF4A901}">
        <xltc2:checksum>1457425061</xltc2:checksum>
        <xltc2:hyperlink startIndex="0" length="56" url="https://taxsummaries.pwc.com/brazil/corporate/deductions"/>
      </x:ext>
    </extLst>
  </threadedComment>
  <threadedComment ref="I13" dT="2025-12-01T06:29:29.92" personId="{33C29E58-9346-4094-92F4-02F620B600A2}" id="{8627FA84-D4F5-4DB0-B69F-50C167129B02}">
    <text>https://taxsummaries.pwc.com/brazil/corporate/deductions</text>
    <extLst>
      <x:ext xmlns:xltc2="http://schemas.microsoft.com/office/spreadsheetml/2020/threadedcomments2" uri="{F7C98A9C-CBB3-438F-8F68-D28B6AF4A901}">
        <xltc2:checksum>1457425061</xltc2:checksum>
        <xltc2:hyperlink startIndex="0" length="56" url="https://taxsummaries.pwc.com/brazil/corporate/deductions"/>
      </x:ext>
    </extLst>
  </threadedComment>
  <threadedComment ref="J13" dT="2025-12-04T08:55:41.83" personId="{33C29E58-9346-4094-92F4-02F620B600A2}" id="{FA6486BF-98FC-4FF0-BB1F-4EE9C4B5B4B9}">
    <text>https://www.properstar.in/listing/110221616</text>
    <extLst>
      <x:ext xmlns:xltc2="http://schemas.microsoft.com/office/spreadsheetml/2020/threadedcomments2" uri="{F7C98A9C-CBB3-438F-8F68-D28B6AF4A901}">
        <xltc2:checksum>398060775</xltc2:checksum>
        <xltc2:hyperlink startIndex="0" length="43" url="https://www.properstar.in/listing/110221616"/>
      </x:ext>
    </extLst>
  </threadedComment>
  <threadedComment ref="K13" dT="2025-12-04T09:13:16.81" personId="{33C29E58-9346-4094-92F4-02F620B600A2}" id="{8F939764-B541-4CA3-A4C8-140AA7373AC5}">
    <text>https://www.realtor.com/international/br/rua-professor-hermes-lima-rio-de-janeiro-rio-de-janeiro-310103414185/</text>
    <extLst>
      <x:ext xmlns:xltc2="http://schemas.microsoft.com/office/spreadsheetml/2020/threadedcomments2" uri="{F7C98A9C-CBB3-438F-8F68-D28B6AF4A901}">
        <xltc2:checksum>2107412810</xltc2:checksum>
        <xltc2:hyperlink startIndex="0" length="110" url="https://www.realtor.com/international/br/rua-professor-hermes-lima-rio-de-janeiro-rio-de-janeiro-310103414185/"/>
      </x:ext>
    </extLst>
  </threadedComment>
  <threadedComment ref="L13" dT="2025-12-05T05:42:52.33" personId="{33C29E58-9346-4094-92F4-02F620B600A2}" id="{D148F50A-ACA4-48EE-A049-239F0C886684}">
    <text>https://www.properstar.co.uk/brazil/rent/building/industrial-building?afd_azwaf_tok=eyJraWQiOiJFNEEyOEJCQ0VDQTJCMUNEREEzRkU5MUJGNEIyMjJGNUNEMzcwNjZEQTgyQzczNjU0OUQxNjc1Q0Y5QjBDQUE0IiwiYWxnIjoiUlMyNTYifQ.eyJhdWQiOiJ3d3cucHJvcGVyc3Rhci5jby51ayIsImV4cCI6MTc2NDkxMzM4OCwiaWF0IjoxNzY0OTEzMzc4LCJpc3MiOiJ0aWVyMS04NWM5ZmQ0OTg4LWw3Zjg1Iiwic3ViIjoiMTAzLjE3NC4zMC43MiIsImRhdGEiOnsidHlwZSI6Imlzc3VlZCIsInJlZiI6IjIwMjUxMjA1VDA1NDI1OFotMTg1YzlmZDQ5ODhsN2Y4NWhDMUJPTWRld24wMDAwMDAwM3AwMDAwMDAwMDA4NWE4IiwiYiI6InNRUV9wWjg0VlVYVFlNeWRiWnZTVDlJVEVMS3dYREJVUm5RT0otZmF2aUUiLCJoIjoiX3RsMVBNXzFrYXR2NVJQTFVSLUh1NTkweWFSMy12d0hhY2RlVFpfTGpiMCJ9fQ.T4BUh7eZwv3bJBvIJif6S9gS_H79XMfxMNR6RBie6KWHIse9giL5D9OaAAZwgAJZlDUvBvbKaudirhiT1d6bYL4B91y0xKMAYI1phTZBh93lczEL7P4-Q9EQM5T9tyKWIiSbyuCGwWqleDNx9pLcAOX03Y-faywSV2s74Dc7fYgeJGV9Bt3GKlwQLvgy1g4nPxntrHOsLqHMY31d-KvE_FutEuPE9noY2v8k9tMwWs7I15EOHUIkt8Xq6pQcwC7D2cAtKYFr8DlT1DDvxVw2elSgvPsDzoOt76cVQ3P6JNVCxYZraJLpuvoGR9xvooBxQkGOccph552tj-x287tcMQ.WF3obl2IDtqgvMFRqVdYkD5s</text>
    <extLst>
      <x:ext xmlns:xltc2="http://schemas.microsoft.com/office/spreadsheetml/2020/threadedcomments2" uri="{F7C98A9C-CBB3-438F-8F68-D28B6AF4A901}">
        <xltc2:checksum>2512136286</xltc2:checksum>
        <xltc2:hyperlink startIndex="0" length="993" url="https://www.properstar.co.uk/brazil/rent/building/industrial-building?afd_azwaf_tok=eyJraWQiOiJFNEEyOEJCQ0VDQTJCMUNEREEzRkU5MUJGNEIyMjJGNUNEMzcwNjZEQTgyQzczNjU0OUQxNjc1Q0Y5QjBDQUE0IiwiYWxnIjoiUlMyNTYifQ.eyJhdWQiOiJ3d3cucHJvcGVyc3Rhci5jby51ayIsImV4cCI6MTc2NDkxMzM4OCwiaWF0IjoxNzY0OTEzMzc4LCJpc3MiOiJ0aWVyMS04NWM5ZmQ0OTg4LWw3Zjg1Iiwic3ViIjoiMTAzLjE3NC4zMC43MiIsImRhdGEiOnsidHlwZSI6Imlzc3VlZCIsInJlZiI6IjIwMjUxMjA1VDA1NDI1OFotMTg1YzlmZDQ5ODhsN2Y4NWhDMUJPTWRld24wMDAwMDAwM3AwMDAwMDAwMDA4NWE4IiwiYiI6InNRUV9wWjg0VlVYVFlNeWRiWnZTVDlJVEVMS3dYREJVUm5RT0otZmF2aUUiLCJoIjoiX3RsMVBNXzFrYXR2NVJQTFVSLUh1NTkweWFSMy12d0hhY2RlVFpfTGpiMCJ9fQ.T4BUh7eZwv3bJBvIJif6S9gS_H79XMfxMNR6RBie6KWHIse9giL5D9OaAAZwgAJZlDUvBvbKaudirhiT1d6bYL4B91y0xKMAYI1phTZBh93lczEL7P4-Q9EQM5T9tyKWIiSbyuCGwWqleDNx9pLcAOX03Y-faywSV2s74Dc7fYgeJGV9Bt3GKlwQLvgy1g4nPxntrHOsLqHMY31d-KvE_FutEuPE9noY2v8k9tMwWs7I15EOHUIkt8Xq6pQcwC7D2cAtKYFr8DlT1DDvxVw2elSgvPsDzoOt76cVQ3P6JNVCxYZraJLpuvoGR9xvooBxQkGOccph552tj-x287tcMQ.WF3obl2IDtqgvMFRqVdYkD5s"/>
      </x:ext>
    </extLst>
  </threadedComment>
  <threadedComment ref="M13" dT="2025-12-04T09:18:15.16" personId="{33C29E58-9346-4094-92F4-02F620B600A2}" id="{A950ED7E-B464-4FAD-856A-68C10CF41ECA}">
    <text>https://www.economy.com/brazil/lending-rate</text>
    <extLst>
      <x:ext xmlns:xltc2="http://schemas.microsoft.com/office/spreadsheetml/2020/threadedcomments2" uri="{F7C98A9C-CBB3-438F-8F68-D28B6AF4A901}">
        <xltc2:checksum>3423149966</xltc2:checksum>
        <xltc2:hyperlink startIndex="0" length="43" url="https://www.economy.com/brazil/lending-rate"/>
      </x:ext>
    </extLst>
  </threadedComment>
  <threadedComment ref="N13" dT="2025-12-04T09:18:15.16" personId="{33C29E58-9346-4094-92F4-02F620B600A2}" id="{AEEC61D6-042C-41F8-9440-5FC23A978780}">
    <text>https://www.economy.com/brazil/lending-rate</text>
    <extLst>
      <x:ext xmlns:xltc2="http://schemas.microsoft.com/office/spreadsheetml/2020/threadedcomments2" uri="{F7C98A9C-CBB3-438F-8F68-D28B6AF4A901}">
        <xltc2:checksum>3423149966</xltc2:checksum>
        <xltc2:hyperlink startIndex="0" length="43" url="https://www.economy.com/brazil/lending-rate"/>
      </x:ext>
    </extLst>
  </threadedComment>
  <threadedComment ref="D14" dT="2025-12-22T11:05:22.51" personId="{33C29E58-9346-4094-92F4-02F620B600A2}" id="{932F5860-3E00-4E6F-B25C-1BCD76059947}">
    <text xml:space="preserve">https://www.globalpetrolprices.com/Canada/electricity_prices/
</text>
    <extLst>
      <x:ext xmlns:xltc2="http://schemas.microsoft.com/office/spreadsheetml/2020/threadedcomments2" uri="{F7C98A9C-CBB3-438F-8F68-D28B6AF4A901}">
        <xltc2:checksum>695559181</xltc2:checksum>
        <xltc2:hyperlink startIndex="0" length="61" url="https://www.globalpetrolprices.com/Canada/electricity_prices/"/>
      </x:ext>
    </extLst>
  </threadedComment>
  <threadedComment ref="D15" dT="2025-11-24T06:15:43.42" personId="{33C29E58-9346-4094-92F4-02F620B600A2}" id="{77E9B211-BF81-4431-BF59-478EA9F7917F}">
    <text>https://www.globalpetrolprices.com/China/electricity_prices/#:~:text=The%20residential%20electricity%20price%20in,0.025%200.050%200.075%200.100%200.125</text>
    <extLst>
      <x:ext xmlns:xltc2="http://schemas.microsoft.com/office/spreadsheetml/2020/threadedcomments2" uri="{F7C98A9C-CBB3-438F-8F68-D28B6AF4A901}">
        <xltc2:checksum>2074749812</xltc2:checksum>
        <xltc2:hyperlink startIndex="0" length="151" url="https://www.globalpetrolprices.com/China/electricity_prices/#:~:text=The%20residential%20electricity%20price%20in,0.025%200.050%200.075%200.100%200.125"/>
      </x:ext>
    </extLst>
  </threadedComment>
  <threadedComment ref="M15" dT="2025-11-24T06:14:15.04" personId="{33C29E58-9346-4094-92F4-02F620B600A2}" id="{B248AD42-5244-4BE6-B7D5-0515E199D76D}">
    <text>https://www.icbc.com.cn/ICBC/EN/FinancialInformation/RMBDepositLoanRate/RMBLoanRate/</text>
    <extLst>
      <x:ext xmlns:xltc2="http://schemas.microsoft.com/office/spreadsheetml/2020/threadedcomments2" uri="{F7C98A9C-CBB3-438F-8F68-D28B6AF4A901}">
        <xltc2:checksum>3839789850</xltc2:checksum>
        <xltc2:hyperlink startIndex="0" length="84" url="https://www.icbc.com.cn/ICBC/EN/FinancialInformation/RMBDepositLoanRate/RMBLoanRate/"/>
      </x:ext>
    </extLst>
  </threadedComment>
  <threadedComment ref="D17" dT="2025-11-25T04:23:57.37" personId="{33C29E58-9346-4094-92F4-02F620B600A2}" id="{A9330E47-EFED-4CDB-B741-F63860E8B00C}">
    <text>https://www.globalpetrolprices.com/France/electricity_prices/</text>
    <extLst>
      <x:ext xmlns:xltc2="http://schemas.microsoft.com/office/spreadsheetml/2020/threadedcomments2" uri="{F7C98A9C-CBB3-438F-8F68-D28B6AF4A901}">
        <xltc2:checksum>3968260290</xltc2:checksum>
        <xltc2:hyperlink startIndex="0" length="61" url="https://www.globalpetrolprices.com/France/electricity_prices/"/>
      </x:ext>
    </extLst>
  </threadedComment>
  <threadedComment ref="E17" dT="2025-12-03T09:38:09.50" personId="{33C29E58-9346-4094-92F4-02F620B600A2}" id="{92D8F444-1A5A-405D-B977-0BAF202CC4DD}">
    <text>https://www.glassdoor.co.in/Salaries/france-machine-operator-salary-SRCH_IL.0,6_IN86_KO7,23.htm?countryRedirect=true</text>
    <extLst>
      <x:ext xmlns:xltc2="http://schemas.microsoft.com/office/spreadsheetml/2020/threadedcomments2" uri="{F7C98A9C-CBB3-438F-8F68-D28B6AF4A901}">
        <xltc2:checksum>2383620026</xltc2:checksum>
        <xltc2:hyperlink startIndex="0" length="116" url="https://www.glassdoor.co.in/Salaries/france-machine-operator-salary-SRCH_IL.0,6_IN86_KO7,23.htm?countryRedirect=true"/>
      </x:ext>
    </extLst>
  </threadedComment>
  <threadedComment ref="F17" dT="2025-12-03T09:38:41.77" personId="{33C29E58-9346-4094-92F4-02F620B600A2}" id="{9459C040-D043-47CB-88B1-82423AE38D09}">
    <text>https://www.glassdoor.co.in/Salaries/france-manufacturing-engineer-salary-SRCH_IL.0,6_IN86_KO7,29.htm?countryRedirect=true</text>
    <extLst>
      <x:ext xmlns:xltc2="http://schemas.microsoft.com/office/spreadsheetml/2020/threadedcomments2" uri="{F7C98A9C-CBB3-438F-8F68-D28B6AF4A901}">
        <xltc2:checksum>2090582072</xltc2:checksum>
        <xltc2:hyperlink startIndex="0" length="122" url="https://www.glassdoor.co.in/Salaries/france-manufacturing-engineer-salary-SRCH_IL.0,6_IN86_KO7,29.htm?countryRedirect=true"/>
      </x:ext>
    </extLst>
  </threadedComment>
  <threadedComment ref="G17" dT="2025-12-03T09:40:11.91" personId="{33C29E58-9346-4094-92F4-02F620B600A2}" id="{87490920-3B7E-4E40-80F0-E8B70B20F26C}">
    <text>https://www.glassdoor.co.in/Salaries/paris-france-production-manager-salary-SRCH_IL.0,12_IM1080_KO13,31.htm</text>
    <extLst>
      <x:ext xmlns:xltc2="http://schemas.microsoft.com/office/spreadsheetml/2020/threadedcomments2" uri="{F7C98A9C-CBB3-438F-8F68-D28B6AF4A901}">
        <xltc2:checksum>1118630893</xltc2:checksum>
        <xltc2:hyperlink startIndex="0" length="107" url="https://www.glassdoor.co.in/Salaries/paris-france-production-manager-salary-SRCH_IL.0,12_IM1080_KO13,31.htm"/>
      </x:ext>
    </extLst>
  </threadedComment>
  <threadedComment ref="M17" dT="2025-12-05T04:15:53.97" personId="{33C29E58-9346-4094-92F4-02F620B600A2}" id="{9B03730E-67A2-4DF1-B4AA-3692CA7BE9C0}">
    <text>https://tradingeconomics.com/france/bank-lending-rate</text>
    <extLst>
      <x:ext xmlns:xltc2="http://schemas.microsoft.com/office/spreadsheetml/2020/threadedcomments2" uri="{F7C98A9C-CBB3-438F-8F68-D28B6AF4A901}">
        <xltc2:checksum>4164972279</xltc2:checksum>
        <xltc2:hyperlink startIndex="0" length="53" url="https://tradingeconomics.com/france/bank-lending-rate"/>
      </x:ext>
    </extLst>
  </threadedComment>
  <threadedComment ref="N17" dT="2025-12-05T04:15:57.88" personId="{33C29E58-9346-4094-92F4-02F620B600A2}" id="{523C446C-417A-4894-92E8-A9155A084A0A}">
    <text>https://tradingeconomics.com/france/bank-lending-rate</text>
    <extLst>
      <x:ext xmlns:xltc2="http://schemas.microsoft.com/office/spreadsheetml/2020/threadedcomments2" uri="{F7C98A9C-CBB3-438F-8F68-D28B6AF4A901}">
        <xltc2:checksum>4164972279</xltc2:checksum>
        <xltc2:hyperlink startIndex="0" length="53" url="https://tradingeconomics.com/france/bank-lending-rate"/>
      </x:ext>
    </extLst>
  </threadedComment>
  <threadedComment ref="D18" dT="2025-11-25T04:22:41.38" personId="{33C29E58-9346-4094-92F4-02F620B600A2}" id="{27BA6A36-CBED-4EE5-9F92-EED7264E0C23}">
    <text>https://www.globalpetrolprices.com/Germany/electricity_prices/</text>
    <extLst>
      <x:ext xmlns:xltc2="http://schemas.microsoft.com/office/spreadsheetml/2020/threadedcomments2" uri="{F7C98A9C-CBB3-438F-8F68-D28B6AF4A901}">
        <xltc2:checksum>298306652</xltc2:checksum>
        <xltc2:hyperlink startIndex="0" length="62" url="https://www.globalpetrolprices.com/Germany/electricity_prices/"/>
      </x:ext>
    </extLst>
  </threadedComment>
  <threadedComment ref="E18" dT="2025-12-03T09:36:36.03" personId="{33C29E58-9346-4094-92F4-02F620B600A2}" id="{9488266D-1FC1-40F8-BB22-1DE9B9823322}">
    <text>https://www.glassdoor.co.in/Salaries/germany-machine-operator-salary-SRCH_IL.0,7_IN96_KO8,24.htm?countryRedirect=true</text>
    <extLst>
      <x:ext xmlns:xltc2="http://schemas.microsoft.com/office/spreadsheetml/2020/threadedcomments2" uri="{F7C98A9C-CBB3-438F-8F68-D28B6AF4A901}">
        <xltc2:checksum>1998251353</xltc2:checksum>
        <xltc2:hyperlink startIndex="0" length="117" url="https://www.glassdoor.co.in/Salaries/germany-machine-operator-salary-SRCH_IL.0,7_IN96_KO8,24.htm?countryRedirect=true"/>
      </x:ext>
    </extLst>
  </threadedComment>
  <threadedComment ref="F18" dT="2025-12-03T09:37:19.23" personId="{33C29E58-9346-4094-92F4-02F620B600A2}" id="{A0C050D0-D11A-4636-8E38-F37B664FA500}">
    <text>https://www.glassdoor.co.in/Salaries/germany-manufacturing-engineer-salary-SRCH_IL.0,7_IN96_KO8,30.htm?countryRedirect=true</text>
    <extLst>
      <x:ext xmlns:xltc2="http://schemas.microsoft.com/office/spreadsheetml/2020/threadedcomments2" uri="{F7C98A9C-CBB3-438F-8F68-D28B6AF4A901}">
        <xltc2:checksum>2083568073</xltc2:checksum>
        <xltc2:hyperlink startIndex="0" length="123" url="https://www.glassdoor.co.in/Salaries/germany-manufacturing-engineer-salary-SRCH_IL.0,7_IN96_KO8,30.htm?countryRedirect=true"/>
      </x:ext>
    </extLst>
  </threadedComment>
  <threadedComment ref="G18" dT="2025-12-03T09:31:31.52" personId="{33C29E58-9346-4094-92F4-02F620B600A2}" id="{4B1A381B-7BB8-4517-AC66-67627C9FF59E}">
    <text>https://www.glassdoor.co.in/Salaries/germany-production-manager-salary-SRCH_IL.0,7_IN96_KO8,26.htm?countryRedirect=true</text>
    <extLst>
      <x:ext xmlns:xltc2="http://schemas.microsoft.com/office/spreadsheetml/2020/threadedcomments2" uri="{F7C98A9C-CBB3-438F-8F68-D28B6AF4A901}">
        <xltc2:checksum>252098875</xltc2:checksum>
        <xltc2:hyperlink startIndex="0" length="119" url="https://www.glassdoor.co.in/Salaries/germany-production-manager-salary-SRCH_IL.0,7_IN96_KO8,26.htm?countryRedirect=true"/>
      </x:ext>
    </extLst>
  </threadedComment>
  <threadedComment ref="M18" dT="2025-12-05T04:18:43.00" personId="{33C29E58-9346-4094-92F4-02F620B600A2}" id="{C6A3E0EC-39B9-4301-B808-F33DB0D7C98B}">
    <text>https://tradingeconomics.com/germany/bank-lending-rate</text>
    <extLst>
      <x:ext xmlns:xltc2="http://schemas.microsoft.com/office/spreadsheetml/2020/threadedcomments2" uri="{F7C98A9C-CBB3-438F-8F68-D28B6AF4A901}">
        <xltc2:checksum>411053439</xltc2:checksum>
        <xltc2:hyperlink startIndex="0" length="54" url="https://tradingeconomics.com/germany/bank-lending-rate"/>
      </x:ext>
    </extLst>
  </threadedComment>
  <threadedComment ref="N18" dT="2025-12-05T04:18:43.00" personId="{33C29E58-9346-4094-92F4-02F620B600A2}" id="{81B90D7E-FE56-41AC-B942-01088EB01B9E}">
    <text>https://tradingeconomics.com/germany/bank-lending-rate</text>
    <extLst>
      <x:ext xmlns:xltc2="http://schemas.microsoft.com/office/spreadsheetml/2020/threadedcomments2" uri="{F7C98A9C-CBB3-438F-8F68-D28B6AF4A901}">
        <xltc2:checksum>411053439</xltc2:checksum>
        <xltc2:hyperlink startIndex="0" length="54" url="https://tradingeconomics.com/germany/bank-lending-rate"/>
      </x:ext>
    </extLst>
  </threadedComment>
  <threadedComment ref="D19" dT="2025-11-25T04:23:18.93" personId="{33C29E58-9346-4094-92F4-02F620B600A2}" id="{53B12DC7-693A-4B29-BEAF-0DF3553924DF}">
    <text>https://www.globalpetrolprices.com/Hungary/electricity_prices/</text>
    <extLst>
      <x:ext xmlns:xltc2="http://schemas.microsoft.com/office/spreadsheetml/2020/threadedcomments2" uri="{F7C98A9C-CBB3-438F-8F68-D28B6AF4A901}">
        <xltc2:checksum>2375050192</xltc2:checksum>
        <xltc2:hyperlink startIndex="0" length="62" url="https://www.globalpetrolprices.com/Hungary/electricity_prices/"/>
      </x:ext>
    </extLst>
  </threadedComment>
  <threadedComment ref="E19" dT="2025-12-03T09:30:01.07" personId="{33C29E58-9346-4094-92F4-02F620B600A2}" id="{7BD16D3A-2BC1-4E61-9CF9-C4A5959C09D9}">
    <text>https://www.glassdoor.ca/Salaries/hungary-machine-operator-salary-SRCH_IL.0,7_IN111_KO8,24.htm</text>
    <extLst>
      <x:ext xmlns:xltc2="http://schemas.microsoft.com/office/spreadsheetml/2020/threadedcomments2" uri="{F7C98A9C-CBB3-438F-8F68-D28B6AF4A901}">
        <xltc2:checksum>1278265167</xltc2:checksum>
        <xltc2:hyperlink startIndex="0" length="94" url="https://www.glassdoor.ca/Salaries/hungary-machine-operator-salary-SRCH_IL.0,7_IN111_KO8,24.htm"/>
      </x:ext>
    </extLst>
  </threadedComment>
  <threadedComment ref="F19" dT="2025-12-03T09:30:42.18" personId="{33C29E58-9346-4094-92F4-02F620B600A2}" id="{FB393ECA-5CFF-44A8-9CC1-63B7C755672C}">
    <text>https://www.glassdoor.co.in/Salaries/hungary-manufacturing-engineer-salary-SRCH_IL.0,7_IN111_KO8,30.htm?countryRedirect=true</text>
    <extLst>
      <x:ext xmlns:xltc2="http://schemas.microsoft.com/office/spreadsheetml/2020/threadedcomments2" uri="{F7C98A9C-CBB3-438F-8F68-D28B6AF4A901}">
        <xltc2:checksum>1855938859</xltc2:checksum>
        <xltc2:hyperlink startIndex="0" length="124" url="https://www.glassdoor.co.in/Salaries/hungary-manufacturing-engineer-salary-SRCH_IL.0,7_IN111_KO8,30.htm?countryRedirect=true"/>
      </x:ext>
    </extLst>
  </threadedComment>
  <threadedComment ref="G19" dT="2025-12-03T09:28:17.94" personId="{33C29E58-9346-4094-92F4-02F620B600A2}" id="{6CD5F28A-38F9-42A2-8ABA-E56B2D55E1E5}">
    <text>https://www.glassdoor.co.in/Salaries/budapest-hungary-production-manager-salary-SRCH_IL.0,16_IM1115_KO17,35.htm</text>
    <extLst>
      <x:ext xmlns:xltc2="http://schemas.microsoft.com/office/spreadsheetml/2020/threadedcomments2" uri="{F7C98A9C-CBB3-438F-8F68-D28B6AF4A901}">
        <xltc2:checksum>3835567178</xltc2:checksum>
        <xltc2:hyperlink startIndex="0" length="111" url="https://www.glassdoor.co.in/Salaries/budapest-hungary-production-manager-salary-SRCH_IL.0,16_IM1115_KO17,35.htm"/>
      </x:ext>
    </extLst>
  </threadedComment>
  <threadedComment ref="H19" dT="2025-12-01T10:11:11.71" personId="{33C29E58-9346-4094-92F4-02F620B600A2}" id="{28E1928F-03B8-4EDD-B33C-98FAF12C2EB2}">
    <text>https://taxsummaries.pwc.com/hungary/corporate/deductions#:~:text=Assets%20newly%20acquired%20since%202003,be%20recognised%20for%20CIT%20purposes.</text>
    <extLst>
      <x:ext xmlns:xltc2="http://schemas.microsoft.com/office/spreadsheetml/2020/threadedcomments2" uri="{F7C98A9C-CBB3-438F-8F68-D28B6AF4A901}">
        <xltc2:checksum>200628319</xltc2:checksum>
        <xltc2:hyperlink startIndex="0" length="145" url="https://taxsummaries.pwc.com/hungary/corporate/deductions#:~:text=Assets%20newly%20acquired%20since%202003,be%20recognised%20for%20CIT%20purposes"/>
      </x:ext>
    </extLst>
  </threadedComment>
  <threadedComment ref="I19" dT="2025-12-01T10:11:20.00" personId="{33C29E58-9346-4094-92F4-02F620B600A2}" id="{C5C392D8-5F0E-4F29-B57A-579C6D2AC0DC}">
    <text>https://taxsummaries.pwc.com/hungary/corporate/deductions#:~:text=Assets%20newly%20acquired%20since%202003,be%20recognised%20for%20CIT%20purposes.</text>
    <extLst>
      <x:ext xmlns:xltc2="http://schemas.microsoft.com/office/spreadsheetml/2020/threadedcomments2" uri="{F7C98A9C-CBB3-438F-8F68-D28B6AF4A901}">
        <xltc2:checksum>200628319</xltc2:checksum>
        <xltc2:hyperlink startIndex="0" length="145" url="https://taxsummaries.pwc.com/hungary/corporate/deductions#:~:text=Assets%20newly%20acquired%20since%202003,be%20recognised%20for%20CIT%20purposes"/>
      </x:ext>
    </extLst>
  </threadedComment>
  <threadedComment ref="M19" dT="2025-12-05T04:24:36.01" personId="{33C29E58-9346-4094-92F4-02F620B600A2}" id="{50361CD4-3969-4CBD-A578-D876EA3FEBFC}">
    <text>https://tradingeconomics.com/hungary/bank-lending-rate</text>
    <extLst>
      <x:ext xmlns:xltc2="http://schemas.microsoft.com/office/spreadsheetml/2020/threadedcomments2" uri="{F7C98A9C-CBB3-438F-8F68-D28B6AF4A901}">
        <xltc2:checksum>4284250433</xltc2:checksum>
        <xltc2:hyperlink startIndex="0" length="54" url="https://tradingeconomics.com/hungary/bank-lending-rate"/>
      </x:ext>
    </extLst>
  </threadedComment>
  <threadedComment ref="N19" dT="2025-12-05T04:26:46.88" personId="{33C29E58-9346-4094-92F4-02F620B600A2}" id="{D10428C3-0E10-45BE-8951-78F2384436FB}">
    <text>https://www.mbhbank.com/press-room/20251021#:~:text=Under%20the%20Sz%C3%A9chenyi%20Card%20Programme,term%20development%20of%20domestic%20businesses.</text>
    <extLst>
      <x:ext xmlns:xltc2="http://schemas.microsoft.com/office/spreadsheetml/2020/threadedcomments2" uri="{F7C98A9C-CBB3-438F-8F68-D28B6AF4A901}">
        <xltc2:checksum>4246983111</xltc2:checksum>
        <xltc2:hyperlink startIndex="0" length="147" url="https://www.mbhbank.com/press-room/20251021#:~:text=Under%20the%20Sz%C3%A9chenyi%20Card%20Programme,term%20development%20of%20domestic%20businesses"/>
      </x:ext>
    </extLst>
  </threadedComment>
  <threadedComment ref="D20" dT="2025-11-25T05:39:05.24" personId="{33C29E58-9346-4094-92F4-02F620B600A2}" id="{2324A634-6BAA-412F-ABE9-3424F0AC9605}">
    <text>https://www.globalpetrolprices.com/India/electricity_prices/</text>
    <extLst>
      <x:ext xmlns:xltc2="http://schemas.microsoft.com/office/spreadsheetml/2020/threadedcomments2" uri="{F7C98A9C-CBB3-438F-8F68-D28B6AF4A901}">
        <xltc2:checksum>3504373081</xltc2:checksum>
        <xltc2:hyperlink startIndex="0" length="60" url="https://www.globalpetrolprices.com/India/electricity_prices/"/>
      </x:ext>
    </extLst>
  </threadedComment>
  <threadedComment ref="E20" dT="2025-11-25T05:41:07.61" personId="{33C29E58-9346-4094-92F4-02F620B600A2}" id="{873C0272-B33B-4F52-9224-DD832F3FCECB}">
    <text>https://www.glassdoor.co.in/Salaries/machine-operator-salary-SRCH_KO0,16.htm</text>
    <extLst>
      <x:ext xmlns:xltc2="http://schemas.microsoft.com/office/spreadsheetml/2020/threadedcomments2" uri="{F7C98A9C-CBB3-438F-8F68-D28B6AF4A901}">
        <xltc2:checksum>750562440</xltc2:checksum>
        <xltc2:hyperlink startIndex="0" length="76" url="https://www.glassdoor.co.in/Salaries/machine-operator-salary-SRCH_KO0,16.htm"/>
      </x:ext>
    </extLst>
  </threadedComment>
  <threadedComment ref="F20" dT="2025-11-25T05:42:25.52" personId="{33C29E58-9346-4094-92F4-02F620B600A2}" id="{7E683F41-BB93-4E31-936C-B47434E6283A}">
    <text>https://www.glassdoor.co.in/Salaries/manufacturing-engineer-salary-SRCH_KO0,22.htm</text>
    <extLst>
      <x:ext xmlns:xltc2="http://schemas.microsoft.com/office/spreadsheetml/2020/threadedcomments2" uri="{F7C98A9C-CBB3-438F-8F68-D28B6AF4A901}">
        <xltc2:checksum>1593921953</xltc2:checksum>
        <xltc2:hyperlink startIndex="0" length="82" url="https://www.glassdoor.co.in/Salaries/manufacturing-engineer-salary-SRCH_KO0,22.htm"/>
      </x:ext>
    </extLst>
  </threadedComment>
  <threadedComment ref="G20" dT="2025-11-25T05:42:51.01" personId="{33C29E58-9346-4094-92F4-02F620B600A2}" id="{966A20DE-9063-4DB2-B5DA-F27A2E403B63}">
    <text>https://www.glassdoor.co.in/Salaries/production-manager-salary-SRCH_KO0,18.htm</text>
    <extLst>
      <x:ext xmlns:xltc2="http://schemas.microsoft.com/office/spreadsheetml/2020/threadedcomments2" uri="{F7C98A9C-CBB3-438F-8F68-D28B6AF4A901}">
        <xltc2:checksum>2327830780</xltc2:checksum>
        <xltc2:hyperlink startIndex="0" length="78" url="https://www.glassdoor.co.in/Salaries/production-manager-salary-SRCH_KO0,18.htm"/>
      </x:ext>
    </extLst>
  </threadedComment>
  <threadedComment ref="D21" dT="2025-11-25T04:18:26.83" personId="{33C29E58-9346-4094-92F4-02F620B600A2}" id="{3B3D65D4-19A1-4AB8-84DA-B2ECD38CD7D5}">
    <text>https://www.globalpetrolprices.com/Indonesia/electricity_prices/</text>
    <extLst>
      <x:ext xmlns:xltc2="http://schemas.microsoft.com/office/spreadsheetml/2020/threadedcomments2" uri="{F7C98A9C-CBB3-438F-8F68-D28B6AF4A901}">
        <xltc2:checksum>3796997609</xltc2:checksum>
        <xltc2:hyperlink startIndex="0" length="64" url="https://www.globalpetrolprices.com/Indonesia/electricity_prices/"/>
      </x:ext>
    </extLst>
  </threadedComment>
  <threadedComment ref="E21" dT="2025-11-28T06:03:30.10" personId="{33C29E58-9346-4094-92F4-02F620B600A2}" id="{1B032ECD-5174-480E-A03E-3C21FACAC192}">
    <text>https://www.glassdoor.co.in/Salaries/indonesia-machine-operator-salary-SRCH_IL.0,9_IN113_KO10,26.htm?countryRedirect=true</text>
    <extLst>
      <x:ext xmlns:xltc2="http://schemas.microsoft.com/office/spreadsheetml/2020/threadedcomments2" uri="{F7C98A9C-CBB3-438F-8F68-D28B6AF4A901}">
        <xltc2:checksum>4217555553</xltc2:checksum>
        <xltc2:hyperlink startIndex="0" length="121" url="https://www.glassdoor.co.in/Salaries/indonesia-machine-operator-salary-SRCH_IL.0,9_IN113_KO10,26.htm?countryRedirect=true"/>
      </x:ext>
    </extLst>
  </threadedComment>
  <threadedComment ref="F21" dT="2025-11-28T06:03:53.21" personId="{33C29E58-9346-4094-92F4-02F620B600A2}" id="{657B50B3-9DA2-458A-A76D-D36DD6581622}">
    <text>https://www.glassdoor.co.in/Salaries/jakarta-indonesia-manufacturing-engineer-salary-SRCH_IL.0,17_IM1045_KO18,40.htm</text>
    <extLst>
      <x:ext xmlns:xltc2="http://schemas.microsoft.com/office/spreadsheetml/2020/threadedcomments2" uri="{F7C98A9C-CBB3-438F-8F68-D28B6AF4A901}">
        <xltc2:checksum>4017352790</xltc2:checksum>
        <xltc2:hyperlink startIndex="0" length="116" url="https://www.glassdoor.co.in/Salaries/jakarta-indonesia-manufacturing-engineer-salary-SRCH_IL.0,17_IM1045_KO18,40.htm"/>
      </x:ext>
    </extLst>
  </threadedComment>
  <threadedComment ref="G21" dT="2025-11-28T06:03:11.11" personId="{33C29E58-9346-4094-92F4-02F620B600A2}" id="{5B6405D5-0152-4F5A-8A77-DDAB5A98993F}">
    <text>https://www.glassdoor.co.in/Salaries/jakarta-indonesia-production-manager-salary-SRCH_IL.0,17_IM1045_KO18,36.htm</text>
    <extLst>
      <x:ext xmlns:xltc2="http://schemas.microsoft.com/office/spreadsheetml/2020/threadedcomments2" uri="{F7C98A9C-CBB3-438F-8F68-D28B6AF4A901}">
        <xltc2:checksum>3616179120</xltc2:checksum>
        <xltc2:hyperlink startIndex="0" length="112" url="https://www.glassdoor.co.in/Salaries/jakarta-indonesia-production-manager-salary-SRCH_IL.0,17_IM1045_KO18,36.htm"/>
      </x:ext>
    </extLst>
  </threadedComment>
  <threadedComment ref="H21" dT="2025-11-28T05:34:12.48" personId="{33C29E58-9346-4094-92F4-02F620B600A2}" id="{977696EA-A952-4804-B47B-504D363B0724}">
    <text>https://taxsummaries.pwc.com/indonesia/corporate/deductions</text>
    <extLst>
      <x:ext xmlns:xltc2="http://schemas.microsoft.com/office/spreadsheetml/2020/threadedcomments2" uri="{F7C98A9C-CBB3-438F-8F68-D28B6AF4A901}">
        <xltc2:checksum>3691373313</xltc2:checksum>
        <xltc2:hyperlink startIndex="0" length="59" url="https://taxsummaries.pwc.com/indonesia/corporate/deductions"/>
      </x:ext>
    </extLst>
  </threadedComment>
  <threadedComment ref="I21" dT="2025-11-28T05:34:22.32" personId="{33C29E58-9346-4094-92F4-02F620B600A2}" id="{56790839-EB03-472E-85AA-68D1BEE30D2F}">
    <text>https://taxsummaries.pwc.com/indonesia/corporate/deductions</text>
    <extLst>
      <x:ext xmlns:xltc2="http://schemas.microsoft.com/office/spreadsheetml/2020/threadedcomments2" uri="{F7C98A9C-CBB3-438F-8F68-D28B6AF4A901}">
        <xltc2:checksum>3691373313</xltc2:checksum>
        <xltc2:hyperlink startIndex="0" length="59" url="https://taxsummaries.pwc.com/indonesia/corporate/deductions"/>
      </x:ext>
    </extLst>
  </threadedComment>
  <threadedComment ref="J21" dT="2025-11-28T06:37:39.72" personId="{33C29E58-9346-4094-92F4-02F620B600A2}" id="{77BE4A71-6FBE-45C8-A82F-11BACF5D624B}">
    <text>https://www.knightfrank.co.id/properties/commercial/for-sale/brangsong-kendal-jawa-tengah/idvlrj10071</text>
    <extLst>
      <x:ext xmlns:xltc2="http://schemas.microsoft.com/office/spreadsheetml/2020/threadedcomments2" uri="{F7C98A9C-CBB3-438F-8F68-D28B6AF4A901}">
        <xltc2:checksum>193737354</xltc2:checksum>
        <xltc2:hyperlink startIndex="0" length="101" url="https://www.knightfrank.co.id/properties/commercial/for-sale/brangsong-kendal-jawa-tengah/idvlrj10071"/>
      </x:ext>
    </extLst>
  </threadedComment>
  <threadedComment ref="K21" dT="2025-11-28T06:41:33.24" personId="{33C29E58-9346-4094-92F4-02F620B600A2}" id="{20C716EE-A3D1-47F1-96CE-0EA502D62A68}">
    <text>https://www.rumah123.com/en/property/bekasi-bekasi/sangat-cocok-untuk-bangun-cluster-perumahan-pabrik-dan-rumah-sakit-pabrik-59-ha-harga-55jtm2-di-bekasi-utara-area-fas9749830/</text>
    <extLst>
      <x:ext xmlns:xltc2="http://schemas.microsoft.com/office/spreadsheetml/2020/threadedcomments2" uri="{F7C98A9C-CBB3-438F-8F68-D28B6AF4A901}">
        <xltc2:checksum>1969875927</xltc2:checksum>
        <xltc2:hyperlink startIndex="0" length="176" url="https://www.rumah123.com/en/property/bekasi-bekasi/sangat-cocok-untuk-bangun-cluster-perumahan-pabrik-dan-rumah-sakit-pabrik-59-ha-harga-55jtm2-di-bekasi-utara-area-fas9749830/"/>
      </x:ext>
    </extLst>
  </threadedComment>
  <threadedComment ref="L21" dT="2025-11-28T06:48:03.56" personId="{33C29E58-9346-4094-92F4-02F620B600A2}" id="{B92C3E45-690A-4945-A8FE-55BF60FE9F6C}">
    <text>https://www.rumah123.com/en/property/bandung-batujajar/pabrik-daerah-batujajarcimareme-bandung-far9766015/</text>
    <extLst>
      <x:ext xmlns:xltc2="http://schemas.microsoft.com/office/spreadsheetml/2020/threadedcomments2" uri="{F7C98A9C-CBB3-438F-8F68-D28B6AF4A901}">
        <xltc2:checksum>1065744748</xltc2:checksum>
        <xltc2:hyperlink startIndex="0" length="106" url="https://www.rumah123.com/en/property/bandung-batujajar/pabrik-daerah-batujajarcimareme-bandung-far9766015/"/>
      </x:ext>
    </extLst>
  </threadedComment>
  <threadedComment ref="M21" dT="2025-11-28T05:57:23.97" personId="{33C29E58-9346-4094-92F4-02F620B600A2}" id="{B4BDD419-DE30-4419-A451-01BC530202B7}">
    <text>https://www.bankmandiri.co.id/en/kredit-investasi1</text>
    <extLst>
      <x:ext xmlns:xltc2="http://schemas.microsoft.com/office/spreadsheetml/2020/threadedcomments2" uri="{F7C98A9C-CBB3-438F-8F68-D28B6AF4A901}">
        <xltc2:checksum>809694095</xltc2:checksum>
        <xltc2:hyperlink startIndex="0" length="50" url="https://www.bankmandiri.co.id/en/kredit-investasi1"/>
      </x:ext>
    </extLst>
  </threadedComment>
  <threadedComment ref="N21" dT="2025-11-28T05:40:03.47" personId="{33C29E58-9346-4094-92F4-02F620B600A2}" id="{39ABCF55-0BD7-467E-B8AC-E12448A48ED0}">
    <text>https://www.bankmandiri.co.id/en/kredit-modal-kerja</text>
    <extLst>
      <x:ext xmlns:xltc2="http://schemas.microsoft.com/office/spreadsheetml/2020/threadedcomments2" uri="{F7C98A9C-CBB3-438F-8F68-D28B6AF4A901}">
        <xltc2:checksum>3141520859</xltc2:checksum>
        <xltc2:hyperlink startIndex="0" length="51" url="https://www.bankmandiri.co.id/en/kredit-modal-kerja"/>
      </x:ext>
    </extLst>
  </threadedComment>
  <threadedComment ref="D22" dT="2025-11-25T04:25:05.99" personId="{33C29E58-9346-4094-92F4-02F620B600A2}" id="{FBE3E3EF-6F5A-4E2D-A817-9F05C27C1CE2}">
    <text>https://www.globalpetrolprices.com/Mexico/electricity_prices/</text>
    <extLst>
      <x:ext xmlns:xltc2="http://schemas.microsoft.com/office/spreadsheetml/2020/threadedcomments2" uri="{F7C98A9C-CBB3-438F-8F68-D28B6AF4A901}">
        <xltc2:checksum>2909428065</xltc2:checksum>
        <xltc2:hyperlink startIndex="0" length="61" url="https://www.globalpetrolprices.com/Mexico/electricity_prices/"/>
      </x:ext>
    </extLst>
  </threadedComment>
  <threadedComment ref="E22" dT="2025-12-03T06:57:32.62" personId="{33C29E58-9346-4094-92F4-02F620B600A2}" id="{E8FABA17-0E7B-413E-98A5-F9F888BC5616}">
    <text>https://www.glassdoor.co.in/Salaries/m%C3%A9xico-machine-operator-salary-SRCH_IL.0,6_IS5738_KO7,23.htm</text>
    <extLst>
      <x:ext xmlns:xltc2="http://schemas.microsoft.com/office/spreadsheetml/2020/threadedcomments2" uri="{F7C98A9C-CBB3-438F-8F68-D28B6AF4A901}">
        <xltc2:checksum>1377376155</xltc2:checksum>
        <xltc2:hyperlink startIndex="0" length="102" url="https://www.glassdoor.co.in/Salaries/m%C3%A9xico-machine-operator-salary-SRCH_IL.0,6_IS5738_KO7,23.htm"/>
      </x:ext>
    </extLst>
  </threadedComment>
  <threadedComment ref="F22" dT="2025-12-03T06:57:22.38" personId="{33C29E58-9346-4094-92F4-02F620B600A2}" id="{97F7614C-6604-415C-8926-5A90A40FE22C}">
    <text>https://www.glassdoor.co.in/Salaries/m%C3%A9xico-manufacturing-engineer-salary-SRCH_IL.0,6_IS5738_KO7,29.htm</text>
    <extLst>
      <x:ext xmlns:xltc2="http://schemas.microsoft.com/office/spreadsheetml/2020/threadedcomments2" uri="{F7C98A9C-CBB3-438F-8F68-D28B6AF4A901}">
        <xltc2:checksum>2857184187</xltc2:checksum>
        <xltc2:hyperlink startIndex="0" length="108" url="https://www.glassdoor.co.in/Salaries/m%C3%A9xico-manufacturing-engineer-salary-SRCH_IL.0,6_IS5738_KO7,29.htm"/>
      </x:ext>
    </extLst>
  </threadedComment>
  <threadedComment ref="G22" dT="2025-12-03T06:56:43.68" personId="{33C29E58-9346-4094-92F4-02F620B600A2}" id="{399CA588-DEC0-4E87-8D24-46078B392791}">
    <text>https://www.glassdoor.co.in/Salaries/mexico-city-mexico-production-manager-salary-SRCH_IL.0,18_IM1176_KO19,37.htm</text>
    <extLst>
      <x:ext xmlns:xltc2="http://schemas.microsoft.com/office/spreadsheetml/2020/threadedcomments2" uri="{F7C98A9C-CBB3-438F-8F68-D28B6AF4A901}">
        <xltc2:checksum>4108579567</xltc2:checksum>
        <xltc2:hyperlink startIndex="0" length="113" url="https://www.glassdoor.co.in/Salaries/mexico-city-mexico-production-manager-salary-SRCH_IL.0,18_IM1176_KO19,37.htm"/>
      </x:ext>
    </extLst>
  </threadedComment>
  <threadedComment ref="M22" dT="2025-12-05T04:31:34.84" personId="{33C29E58-9346-4094-92F4-02F620B600A2}" id="{F5A2FCDA-F3E0-4BE2-B1A1-29E28CA0ADB0}">
    <text>https://www.economy.com/mexico/lending-rate</text>
    <extLst>
      <x:ext xmlns:xltc2="http://schemas.microsoft.com/office/spreadsheetml/2020/threadedcomments2" uri="{F7C98A9C-CBB3-438F-8F68-D28B6AF4A901}">
        <xltc2:checksum>1218243295</xltc2:checksum>
        <xltc2:hyperlink startIndex="0" length="43" url="https://www.economy.com/mexico/lending-rate"/>
      </x:ext>
    </extLst>
  </threadedComment>
  <threadedComment ref="N22" dT="2025-12-05T04:31:34.84" personId="{33C29E58-9346-4094-92F4-02F620B600A2}" id="{24FD7CC9-5866-4C63-AF02-9AD75DE18D95}">
    <text>https://www.economy.com/mexico/lending-rate</text>
    <extLst>
      <x:ext xmlns:xltc2="http://schemas.microsoft.com/office/spreadsheetml/2020/threadedcomments2" uri="{F7C98A9C-CBB3-438F-8F68-D28B6AF4A901}">
        <xltc2:checksum>1218243295</xltc2:checksum>
        <xltc2:hyperlink startIndex="0" length="43" url="https://www.economy.com/mexico/lending-rate"/>
      </x:ext>
    </extLst>
  </threadedComment>
  <threadedComment ref="D23" dT="2025-11-25T04:22:00.01" personId="{33C29E58-9346-4094-92F4-02F620B600A2}" id="{61CAB1FB-7E1E-415D-9798-F37C4DBE9C8D}">
    <text>https://www.globalpetrolprices.com/Pakistan/electricity_prices/</text>
    <extLst>
      <x:ext xmlns:xltc2="http://schemas.microsoft.com/office/spreadsheetml/2020/threadedcomments2" uri="{F7C98A9C-CBB3-438F-8F68-D28B6AF4A901}">
        <xltc2:checksum>2841944604</xltc2:checksum>
        <xltc2:hyperlink startIndex="0" length="63" url="https://www.globalpetrolprices.com/Pakistan/electricity_prices/"/>
      </x:ext>
    </extLst>
  </threadedComment>
  <threadedComment ref="E23" dT="2025-12-03T06:54:13.75" personId="{33C29E58-9346-4094-92F4-02F620B600A2}" id="{9B4FC088-81BD-4337-94F6-F594A8FACF54}">
    <text>https://www.glassdoor.co.in/Salaries/lahore-pakistan-machine-operator-salary-SRCH_IL.0,15_IM1625_KO16,32.htm</text>
    <extLst>
      <x:ext xmlns:xltc2="http://schemas.microsoft.com/office/spreadsheetml/2020/threadedcomments2" uri="{F7C98A9C-CBB3-438F-8F68-D28B6AF4A901}">
        <xltc2:checksum>3331303253</xltc2:checksum>
        <xltc2:hyperlink startIndex="0" length="108" url="https://www.glassdoor.co.in/Salaries/lahore-pakistan-machine-operator-salary-SRCH_IL.0,15_IM1625_KO16,32.htm"/>
      </x:ext>
    </extLst>
  </threadedComment>
  <threadedComment ref="F23" dT="2025-12-03T06:54:04.09" personId="{33C29E58-9346-4094-92F4-02F620B600A2}" id="{4F94E7B8-75DB-469D-8C0A-BB5AD33F23CE}">
    <text>https://www.glassdoor.co.in/Salaries/cape-town-south-africa-manufacturing-engineer-salary-SRCH_IL.0,22_IM1026_KO23,45.htm</text>
    <extLst>
      <x:ext xmlns:xltc2="http://schemas.microsoft.com/office/spreadsheetml/2020/threadedcomments2" uri="{F7C98A9C-CBB3-438F-8F68-D28B6AF4A901}">
        <xltc2:checksum>3280993941</xltc2:checksum>
        <xltc2:hyperlink startIndex="0" length="121" url="https://www.glassdoor.co.in/Salaries/cape-town-south-africa-manufacturing-engineer-salary-SRCH_IL.0,22_IM1026_KO23,45.htm"/>
      </x:ext>
    </extLst>
  </threadedComment>
  <threadedComment ref="G23" dT="2025-12-03T06:28:33.96" personId="{33C29E58-9346-4094-92F4-02F620B600A2}" id="{14E78BFD-2BA1-4780-AC14-7E58DA1BD1C9}">
    <text>https://www.glassdoor.co.in/Salaries/lahore-pakistan-production-manager-salary-SRCH_IL.0,15_IM1625_KO16,34.htm</text>
    <extLst>
      <x:ext xmlns:xltc2="http://schemas.microsoft.com/office/spreadsheetml/2020/threadedcomments2" uri="{F7C98A9C-CBB3-438F-8F68-D28B6AF4A901}">
        <xltc2:checksum>2734567769</xltc2:checksum>
        <xltc2:hyperlink startIndex="0" length="110" url="https://www.glassdoor.co.in/Salaries/lahore-pakistan-production-manager-salary-SRCH_IL.0,15_IM1625_KO16,34.htm"/>
      </x:ext>
    </extLst>
  </threadedComment>
  <threadedComment ref="H23" dT="2025-12-02T10:51:36.81" personId="{33C29E58-9346-4094-92F4-02F620B600A2}" id="{4B788BD9-FD7A-4A81-85B3-200B343F4494}">
    <text>https://taxsummaries.pwc.com/pakistan/corporate/deductions</text>
    <extLst>
      <x:ext xmlns:xltc2="http://schemas.microsoft.com/office/spreadsheetml/2020/threadedcomments2" uri="{F7C98A9C-CBB3-438F-8F68-D28B6AF4A901}">
        <xltc2:checksum>2357254663</xltc2:checksum>
        <xltc2:hyperlink startIndex="0" length="58" url="https://taxsummaries.pwc.com/pakistan/corporate/deductions"/>
      </x:ext>
    </extLst>
  </threadedComment>
  <threadedComment ref="I23" dT="2025-12-02T10:51:40.98" personId="{33C29E58-9346-4094-92F4-02F620B600A2}" id="{A648398A-79FC-4C81-AD1D-9EC2F01C4390}">
    <text>https://taxsummaries.pwc.com/pakistan/corporate/deductions</text>
    <extLst>
      <x:ext xmlns:xltc2="http://schemas.microsoft.com/office/spreadsheetml/2020/threadedcomments2" uri="{F7C98A9C-CBB3-438F-8F68-D28B6AF4A901}">
        <xltc2:checksum>2357254663</xltc2:checksum>
        <xltc2:hyperlink startIndex="0" length="58" url="https://taxsummaries.pwc.com/pakistan/corporate/deductions"/>
      </x:ext>
    </extLst>
  </threadedComment>
  <threadedComment ref="D24" dT="2025-11-24T06:17:05.22" personId="{33C29E58-9346-4094-92F4-02F620B600A2}" id="{785CC95D-EB40-4858-8307-693F16037D27}">
    <text>https://www.globalpetrolprices.com/Philippines/electricity_prices/</text>
    <extLst>
      <x:ext xmlns:xltc2="http://schemas.microsoft.com/office/spreadsheetml/2020/threadedcomments2" uri="{F7C98A9C-CBB3-438F-8F68-D28B6AF4A901}">
        <xltc2:checksum>565383623</xltc2:checksum>
        <xltc2:hyperlink startIndex="0" length="66" url="https://www.globalpetrolprices.com/Philippines/electricity_prices/"/>
      </x:ext>
    </extLst>
  </threadedComment>
  <threadedComment ref="E24" dT="2025-11-24T08:50:50.59" personId="{33C29E58-9346-4094-92F4-02F620B600A2}" id="{D8DF11A2-DA81-4BA7-8A92-EC7810EE947C}">
    <text>https://www.glassdoor.co.in/Salaries/philippines-machine-operator-salary-SRCH_IL.0,11_IN204_KO12,28.htm?countryRedirect=true</text>
    <extLst>
      <x:ext xmlns:xltc2="http://schemas.microsoft.com/office/spreadsheetml/2020/threadedcomments2" uri="{F7C98A9C-CBB3-438F-8F68-D28B6AF4A901}">
        <xltc2:checksum>3554814090</xltc2:checksum>
        <xltc2:hyperlink startIndex="0" length="124" url="https://www.glassdoor.co.in/Salaries/philippines-machine-operator-salary-SRCH_IL.0,11_IN204_KO12,28.htm?countryRedirect=true"/>
      </x:ext>
    </extLst>
  </threadedComment>
  <threadedComment ref="F24" dT="2025-11-24T08:46:44.50" personId="{33C29E58-9346-4094-92F4-02F620B600A2}" id="{D5252366-433A-4E86-B891-F4799126DF60}">
    <text>https://www.glassdoor.co.in/Salaries/cebu-city-philippines-manufacturing-engineer-salary-SRCH_IL.0,21_IM1639_KO22,44.htm</text>
    <extLst>
      <x:ext xmlns:xltc2="http://schemas.microsoft.com/office/spreadsheetml/2020/threadedcomments2" uri="{F7C98A9C-CBB3-438F-8F68-D28B6AF4A901}">
        <xltc2:checksum>3728396836</xltc2:checksum>
        <xltc2:hyperlink startIndex="0" length="120" url="https://www.glassdoor.co.in/Salaries/cebu-city-philippines-manufacturing-engineer-salary-SRCH_IL.0,21_IM1639_KO22,44.htm"/>
      </x:ext>
    </extLst>
  </threadedComment>
  <threadedComment ref="G24" dT="2025-11-24T07:08:20.39" personId="{33C29E58-9346-4094-92F4-02F620B600A2}" id="{A869C695-1550-44D1-97CA-5394E34B1C56}">
    <text>https://ph.indeed.com/career/factory-manager/salaries</text>
    <extLst>
      <x:ext xmlns:xltc2="http://schemas.microsoft.com/office/spreadsheetml/2020/threadedcomments2" uri="{F7C98A9C-CBB3-438F-8F68-D28B6AF4A901}">
        <xltc2:checksum>1813442108</xltc2:checksum>
        <xltc2:hyperlink startIndex="0" length="53" url="https://ph.indeed.com/career/factory-manager/salaries"/>
      </x:ext>
    </extLst>
  </threadedComment>
  <threadedComment ref="J24" dT="2025-11-24T09:46:59.02" personId="{33C29E58-9346-4094-92F4-02F620B600A2}" id="{21B6663A-3B87-45A1-B276-04A002E27737}">
    <text>https://onepropertee.com/1-000-sqm-industrial-lot-sale-baliuag-bulacan-ready-build-access-via-nlex-property</text>
    <extLst>
      <x:ext xmlns:xltc2="http://schemas.microsoft.com/office/spreadsheetml/2020/threadedcomments2" uri="{F7C98A9C-CBB3-438F-8F68-D28B6AF4A901}">
        <xltc2:checksum>582610542</xltc2:checksum>
        <xltc2:hyperlink startIndex="0" length="107" url="https://onepropertee.com/1-000-sqm-industrial-lot-sale-baliuag-bulacan-ready-build-access-via-nlex-property"/>
      </x:ext>
    </extLst>
  </threadedComment>
  <threadedComment ref="K24" dT="2025-11-24T09:23:35.79" personId="{33C29E58-9346-4094-92F4-02F620B600A2}" id="{1793E1FF-2902-4DB8-B772-A4F817245B60}">
    <text>https://www.dotproperty.com.ph/ads/warehouse-factory-for-sale-in-malinta-metro-manila_28a58704c9c9-88a0-4b22-adad-c1a41089</text>
    <extLst>
      <x:ext xmlns:xltc2="http://schemas.microsoft.com/office/spreadsheetml/2020/threadedcomments2" uri="{F7C98A9C-CBB3-438F-8F68-D28B6AF4A901}">
        <xltc2:checksum>2673823304</xltc2:checksum>
        <xltc2:hyperlink startIndex="0" length="122" url="https://www.dotproperty.com.ph/ads/warehouse-factory-for-sale-in-malinta-metro-manila_28a58704c9c9-88a0-4b22-adad-c1a41089"/>
      </x:ext>
    </extLst>
  </threadedComment>
  <threadedComment ref="L24" dT="2025-11-24T09:42:06.96" personId="{33C29E58-9346-4094-92F4-02F620B600A2}" id="{B108762D-7A7B-4785-9CEB-3BB0BE2424EB}">
    <text>https://www.dotproperty.com.ph/ads/warehouse-factory-for-rent-in-tingub-cebu_7632309acdee-5ba0-f792-1572-ddd01089</text>
    <extLst>
      <x:ext xmlns:xltc2="http://schemas.microsoft.com/office/spreadsheetml/2020/threadedcomments2" uri="{F7C98A9C-CBB3-438F-8F68-D28B6AF4A901}">
        <xltc2:checksum>1746756916</xltc2:checksum>
        <xltc2:hyperlink startIndex="0" length="113" url="https://www.dotproperty.com.ph/ads/warehouse-factory-for-rent-in-tingub-cebu_7632309acdee-5ba0-f792-1572-ddd01089"/>
      </x:ext>
    </extLst>
  </threadedComment>
  <threadedComment ref="M24" dT="2025-11-24T05:49:33.49" personId="{33C29E58-9346-4094-92F4-02F620B600A2}" id="{49A8D834-F044-4F62-A2AA-BD86243C8F2C}">
    <text>https://www.pnb.com.ph/index.php/business-loans</text>
    <extLst>
      <x:ext xmlns:xltc2="http://schemas.microsoft.com/office/spreadsheetml/2020/threadedcomments2" uri="{F7C98A9C-CBB3-438F-8F68-D28B6AF4A901}">
        <xltc2:checksum>4043717675</xltc2:checksum>
        <xltc2:hyperlink startIndex="0" length="47" url="https://www.pnb.com.ph/index.php/business-loans"/>
      </x:ext>
    </extLst>
  </threadedComment>
  <threadedComment ref="N24" dT="2025-11-24T12:13:10.83" personId="{33C29E58-9346-4094-92F4-02F620B600A2}" id="{6887F09C-7DFE-4637-8EE6-BB55B8EBFB15}">
    <text>https://www.securitybank.com/business/loans/business-working-capital/</text>
    <extLst>
      <x:ext xmlns:xltc2="http://schemas.microsoft.com/office/spreadsheetml/2020/threadedcomments2" uri="{F7C98A9C-CBB3-438F-8F68-D28B6AF4A901}">
        <xltc2:checksum>2267043501</xltc2:checksum>
        <xltc2:hyperlink startIndex="0" length="69" url="https://www.securitybank.com/business/loans/business-working-capital/"/>
      </x:ext>
    </extLst>
  </threadedComment>
  <threadedComment ref="D27" dT="2025-11-25T04:24:34.47" personId="{33C29E58-9346-4094-92F4-02F620B600A2}" id="{409EE683-784F-47D0-B516-D912326CA5F8}">
    <text>https://www.globalpetrolprices.com/South-Africa/electricity_prices/</text>
    <extLst>
      <x:ext xmlns:xltc2="http://schemas.microsoft.com/office/spreadsheetml/2020/threadedcomments2" uri="{F7C98A9C-CBB3-438F-8F68-D28B6AF4A901}">
        <xltc2:checksum>2841423990</xltc2:checksum>
        <xltc2:hyperlink startIndex="0" length="67" url="https://www.globalpetrolprices.com/South-Africa/electricity_prices/"/>
      </x:ext>
    </extLst>
  </threadedComment>
  <threadedComment ref="E27" dT="2025-12-03T06:19:09.84" personId="{33C29E58-9346-4094-92F4-02F620B600A2}" id="{0F2492E8-A3F5-4664-984F-15D54781A92E}">
    <text>https://www.glassdoor.co.in/Salaries/johannesburg-south-africa-machine-operator-salary-SRCH_IL.0,25_IM1023_KO26,42.htm</text>
    <extLst>
      <x:ext xmlns:xltc2="http://schemas.microsoft.com/office/spreadsheetml/2020/threadedcomments2" uri="{F7C98A9C-CBB3-438F-8F68-D28B6AF4A901}">
        <xltc2:checksum>3726268664</xltc2:checksum>
        <xltc2:hyperlink startIndex="0" length="118" url="https://www.glassdoor.co.in/Salaries/johannesburg-south-africa-machine-operator-salary-SRCH_IL.0,25_IM1023_KO26,42.htm"/>
      </x:ext>
    </extLst>
  </threadedComment>
  <threadedComment ref="F27" dT="2025-12-03T06:19:55.58" personId="{33C29E58-9346-4094-92F4-02F620B600A2}" id="{8AD63BC5-0453-4BDA-930F-F37145380730}">
    <text>https://www.glassdoor.co.in/Salaries/cape-town-south-africa-manufacturing-engineer-salary-SRCH_IL.0,22_IM1026_KO23,45.htm</text>
    <extLst>
      <x:ext xmlns:xltc2="http://schemas.microsoft.com/office/spreadsheetml/2020/threadedcomments2" uri="{F7C98A9C-CBB3-438F-8F68-D28B6AF4A901}">
        <xltc2:checksum>3280993941</xltc2:checksum>
        <xltc2:hyperlink startIndex="0" length="121" url="https://www.glassdoor.co.in/Salaries/cape-town-south-africa-manufacturing-engineer-salary-SRCH_IL.0,22_IM1026_KO23,45.htm"/>
      </x:ext>
    </extLst>
  </threadedComment>
  <threadedComment ref="G27" dT="2025-12-03T06:18:09.27" personId="{33C29E58-9346-4094-92F4-02F620B600A2}" id="{7F35A756-FA88-4892-8BB0-F39553826C0F}">
    <text>https://www.glassdoor.co.in/Salaries/johannesburg-south-africa-production-manager-salary-SRCH_IL.0,25_IM1023_KO26,44.htm</text>
    <extLst>
      <x:ext xmlns:xltc2="http://schemas.microsoft.com/office/spreadsheetml/2020/threadedcomments2" uri="{F7C98A9C-CBB3-438F-8F68-D28B6AF4A901}">
        <xltc2:checksum>2267226485</xltc2:checksum>
        <xltc2:hyperlink startIndex="0" length="120" url="https://www.glassdoor.co.in/Salaries/johannesburg-south-africa-production-manager-salary-SRCH_IL.0,25_IM1023_KO26,44.htm"/>
      </x:ext>
    </extLst>
  </threadedComment>
  <threadedComment ref="H27" dT="2025-12-02T10:53:04.17" personId="{33C29E58-9346-4094-92F4-02F620B600A2}" id="{3A613504-0126-4C2E-9152-C88676E58EBF}">
    <text>https://taxsummaries.pwc.com/south-africa/corporate/deductions</text>
    <extLst>
      <x:ext xmlns:xltc2="http://schemas.microsoft.com/office/spreadsheetml/2020/threadedcomments2" uri="{F7C98A9C-CBB3-438F-8F68-D28B6AF4A901}">
        <xltc2:checksum>2554740308</xltc2:checksum>
        <xltc2:hyperlink startIndex="0" length="62" url="https://taxsummaries.pwc.com/south-africa/corporate/deductions"/>
      </x:ext>
    </extLst>
  </threadedComment>
  <threadedComment ref="I27" dT="2025-12-02T10:53:08.95" personId="{33C29E58-9346-4094-92F4-02F620B600A2}" id="{45997CC5-2F72-4637-897F-18F5F57568C8}">
    <text>https://taxsummaries.pwc.com/south-africa/corporate/deductions</text>
    <extLst>
      <x:ext xmlns:xltc2="http://schemas.microsoft.com/office/spreadsheetml/2020/threadedcomments2" uri="{F7C98A9C-CBB3-438F-8F68-D28B6AF4A901}">
        <xltc2:checksum>2554740308</xltc2:checksum>
        <xltc2:hyperlink startIndex="0" length="62" url="https://taxsummaries.pwc.com/south-africa/corporate/deductions"/>
      </x:ext>
    </extLst>
  </threadedComment>
  <threadedComment ref="M27" dT="2025-12-05T04:43:51.85" personId="{33C29E58-9346-4094-92F4-02F620B600A2}" id="{873622DB-15E5-4D97-AE75-D957485431A8}">
    <text>https://tradingeconomics.com/south-africa/lending-rate</text>
    <extLst>
      <x:ext xmlns:xltc2="http://schemas.microsoft.com/office/spreadsheetml/2020/threadedcomments2" uri="{F7C98A9C-CBB3-438F-8F68-D28B6AF4A901}">
        <xltc2:checksum>2813843656</xltc2:checksum>
        <xltc2:hyperlink startIndex="0" length="54" url="https://tradingeconomics.com/south-africa/lending-rate"/>
      </x:ext>
    </extLst>
  </threadedComment>
  <threadedComment ref="N27" dT="2025-12-05T04:48:38.28" personId="{33C29E58-9346-4094-92F4-02F620B600A2}" id="{6F612CF9-76AE-4D7A-BB55-5A9FD07B8BB5}">
    <text>https://www.capitecbank.co.za/personal/credit/rates-and-fees/</text>
    <extLst>
      <x:ext xmlns:xltc2="http://schemas.microsoft.com/office/spreadsheetml/2020/threadedcomments2" uri="{F7C98A9C-CBB3-438F-8F68-D28B6AF4A901}">
        <xltc2:checksum>839032621</xltc2:checksum>
        <xltc2:hyperlink startIndex="0" length="61" url="https://www.capitecbank.co.za/personal/credit/rates-and-fees/"/>
      </x:ext>
    </extLst>
  </threadedComment>
  <threadedComment ref="D30" dT="2025-11-25T04:21:28.31" personId="{33C29E58-9346-4094-92F4-02F620B600A2}" id="{335F4FD4-B487-4DD3-956D-876D106FDB63}">
    <text>https://www.globalpetrolprices.com/Turkey/electricity_prices/</text>
    <extLst>
      <x:ext xmlns:xltc2="http://schemas.microsoft.com/office/spreadsheetml/2020/threadedcomments2" uri="{F7C98A9C-CBB3-438F-8F68-D28B6AF4A901}">
        <xltc2:checksum>493460217</xltc2:checksum>
        <xltc2:hyperlink startIndex="0" length="61" url="https://www.globalpetrolprices.com/Turkey/electricity_prices/"/>
      </x:ext>
    </extLst>
  </threadedComment>
  <threadedComment ref="E30" dT="2025-12-03T05:21:12.73" personId="{33C29E58-9346-4094-92F4-02F620B600A2}" id="{26B74892-0E30-4690-BB26-31EE31813773}">
    <text>https://www.glassdoor.co.in/Salaries/istanbul-turkey-machine-operator-salary-SRCH_IL.0,15_IM1160_KO16,32.htm</text>
    <extLst>
      <x:ext xmlns:xltc2="http://schemas.microsoft.com/office/spreadsheetml/2020/threadedcomments2" uri="{F7C98A9C-CBB3-438F-8F68-D28B6AF4A901}">
        <xltc2:checksum>3820752963</xltc2:checksum>
        <xltc2:hyperlink startIndex="0" length="108" url="https://www.glassdoor.co.in/Salaries/istanbul-turkey-machine-operator-salary-SRCH_IL.0,15_IM1160_KO16,32.htm"/>
      </x:ext>
    </extLst>
  </threadedComment>
  <threadedComment ref="F30" dT="2025-12-03T06:18:00.25" personId="{33C29E58-9346-4094-92F4-02F620B600A2}" id="{55CD0BE7-8BC2-40ED-B8CF-5751BB1008CA}">
    <text xml:space="preserve">https://www.glassdoor.co.in/Salaries/istanbul-turkey-manufacturing-engineer-salary-SRCH_IL.0,15_IM1160_KO16,38.htm
</text>
    <extLst>
      <x:ext xmlns:xltc2="http://schemas.microsoft.com/office/spreadsheetml/2020/threadedcomments2" uri="{F7C98A9C-CBB3-438F-8F68-D28B6AF4A901}">
        <xltc2:checksum>2788886029</xltc2:checksum>
        <xltc2:hyperlink startIndex="0" length="114" url="https://www.glassdoor.co.in/Salaries/istanbul-turkey-manufacturing-engineer-salary-SRCH_IL.0,15_IM1160_KO16,38.htm"/>
      </x:ext>
    </extLst>
  </threadedComment>
  <threadedComment ref="G30" dT="2025-12-03T05:21:25.04" personId="{33C29E58-9346-4094-92F4-02F620B600A2}" id="{B93113E9-0531-4830-B670-C857F35CBEC7}">
    <text>https://www.glassdoor.co.in/Salaries/istanbul-turkey-production-manager-salary-SRCH_IL.0,15_IM1160_KO16,34.htm</text>
    <extLst>
      <x:ext xmlns:xltc2="http://schemas.microsoft.com/office/spreadsheetml/2020/threadedcomments2" uri="{F7C98A9C-CBB3-438F-8F68-D28B6AF4A901}">
        <xltc2:checksum>555917210</xltc2:checksum>
        <xltc2:hyperlink startIndex="0" length="110" url="https://www.glassdoor.co.in/Salaries/istanbul-turkey-production-manager-salary-SRCH_IL.0,15_IM1160_KO16,34.htm"/>
      </x:ext>
    </extLst>
  </threadedComment>
  <threadedComment ref="M30" dT="2025-12-05T04:54:37.66" personId="{33C29E58-9346-4094-92F4-02F620B600A2}" id="{C03BF05C-CEA7-4803-8AB6-A934B6CCB435}">
    <text>https://www.economy.com/trkiye/lending-rate</text>
    <extLst>
      <x:ext xmlns:xltc2="http://schemas.microsoft.com/office/spreadsheetml/2020/threadedcomments2" uri="{F7C98A9C-CBB3-438F-8F68-D28B6AF4A901}">
        <xltc2:checksum>1679879477</xltc2:checksum>
        <xltc2:hyperlink startIndex="0" length="43" url="https://www.economy.com/trkiye/lending-rate"/>
      </x:ext>
    </extLst>
  </threadedComment>
  <threadedComment ref="N30" dT="2025-12-05T04:54:37.66" personId="{33C29E58-9346-4094-92F4-02F620B600A2}" id="{46F7632A-987C-4507-AB6C-F0EA8180F60A}">
    <text>https://www.economy.com/trkiye/lending-rate</text>
    <extLst>
      <x:ext xmlns:xltc2="http://schemas.microsoft.com/office/spreadsheetml/2020/threadedcomments2" uri="{F7C98A9C-CBB3-438F-8F68-D28B6AF4A901}">
        <xltc2:checksum>1679879477</xltc2:checksum>
        <xltc2:hyperlink startIndex="0" length="43" url="https://www.economy.com/trkiye/lending-rate"/>
      </x:ext>
    </extLst>
  </threadedComment>
  <threadedComment ref="D31" dT="2025-11-24T12:08:21.26" personId="{33C29E58-9346-4094-92F4-02F620B600A2}" id="{6F50F130-ED1A-4901-94DA-94E52E23D07A}">
    <text>https://www.globalpetrolprices.com/United-Kingdom/electricity_prices/</text>
    <extLst>
      <x:ext xmlns:xltc2="http://schemas.microsoft.com/office/spreadsheetml/2020/threadedcomments2" uri="{F7C98A9C-CBB3-438F-8F68-D28B6AF4A901}">
        <xltc2:checksum>3980542309</xltc2:checksum>
        <xltc2:hyperlink startIndex="0" length="69" url="https://www.globalpetrolprices.com/United-Kingdom/electricity_prices/"/>
      </x:ext>
    </extLst>
  </threadedComment>
  <threadedComment ref="E31" dT="2025-11-25T04:41:53.71" personId="{33C29E58-9346-4094-92F4-02F620B600A2}" id="{5F93F0EC-7328-4817-A5FC-83EC65949BE5}">
    <text>https://www.glassdoor.co.uk/Salaries/machine-operator-salary-SRCH_KO0,16.htm</text>
    <extLst>
      <x:ext xmlns:xltc2="http://schemas.microsoft.com/office/spreadsheetml/2020/threadedcomments2" uri="{F7C98A9C-CBB3-438F-8F68-D28B6AF4A901}">
        <xltc2:checksum>1127749121</xltc2:checksum>
        <xltc2:hyperlink startIndex="0" length="76" url="https://www.glassdoor.co.uk/Salaries/machine-operator-salary-SRCH_KO0,16.htm"/>
      </x:ext>
    </extLst>
  </threadedComment>
  <threadedComment ref="F31" dT="2025-11-25T04:45:58.24" personId="{33C29E58-9346-4094-92F4-02F620B600A2}" id="{4C301FBD-79CF-41EA-A4D8-EED71740E0C7}">
    <text>https://www.glassdoor.co.uk/Salaries/manufacturing-engineer-salary-SRCH_KO0,22.htm</text>
    <extLst>
      <x:ext xmlns:xltc2="http://schemas.microsoft.com/office/spreadsheetml/2020/threadedcomments2" uri="{F7C98A9C-CBB3-438F-8F68-D28B6AF4A901}">
        <xltc2:checksum>4194262314</xltc2:checksum>
        <xltc2:hyperlink startIndex="0" length="82" url="https://www.glassdoor.co.uk/Salaries/manufacturing-engineer-salary-SRCH_KO0,22.htm"/>
      </x:ext>
    </extLst>
  </threadedComment>
  <threadedComment ref="G31" dT="2025-11-25T04:46:40.48" personId="{33C29E58-9346-4094-92F4-02F620B600A2}" id="{EA77D043-81DB-4592-A6AC-E56DD51F7129}">
    <text>https://www.glassdoor.co.uk/Salaries/production-manager-salary-SRCH_KO0,18.htm</text>
    <extLst>
      <x:ext xmlns:xltc2="http://schemas.microsoft.com/office/spreadsheetml/2020/threadedcomments2" uri="{F7C98A9C-CBB3-438F-8F68-D28B6AF4A901}">
        <xltc2:checksum>3402571459</xltc2:checksum>
        <xltc2:hyperlink startIndex="0" length="78" url="https://www.glassdoor.co.uk/Salaries/production-manager-salary-SRCH_KO0,18.htm"/>
      </x:ext>
    </extLst>
  </threadedComment>
  <threadedComment ref="H31" dT="2025-11-25T04:48:18.72" personId="{33C29E58-9346-4094-92F4-02F620B600A2}" id="{7BBCD4E9-C180-47C5-94DF-3B916CEAF14D}">
    <text>https://taxsummaries.pwc.com/united-kingdom/corporate/deductions</text>
    <extLst>
      <x:ext xmlns:xltc2="http://schemas.microsoft.com/office/spreadsheetml/2020/threadedcomments2" uri="{F7C98A9C-CBB3-438F-8F68-D28B6AF4A901}">
        <xltc2:checksum>1096798695</xltc2:checksum>
        <xltc2:hyperlink startIndex="0" length="64" url="https://taxsummaries.pwc.com/united-kingdom/corporate/deductions"/>
      </x:ext>
    </extLst>
  </threadedComment>
  <threadedComment ref="I31" dT="2025-12-01T11:00:32.69" personId="{33C29E58-9346-4094-92F4-02F620B600A2}" id="{5F87A3FD-53D9-46BE-A352-5C576907A79B}">
    <text>https://taxsummaries.pwc.com/united-kingdom/corporate/deductions</text>
    <extLst>
      <x:ext xmlns:xltc2="http://schemas.microsoft.com/office/spreadsheetml/2020/threadedcomments2" uri="{F7C98A9C-CBB3-438F-8F68-D28B6AF4A901}">
        <xltc2:checksum>1096798695</xltc2:checksum>
        <xltc2:hyperlink startIndex="0" length="64" url="https://taxsummaries.pwc.com/united-kingdom/corporate/deductions"/>
      </x:ext>
    </extLst>
  </threadedComment>
  <threadedComment ref="M31" dT="2025-12-05T05:14:55.35" personId="{33C29E58-9346-4094-92F4-02F620B600A2}" id="{E531B2F9-4567-4CB2-BCC6-90F4EC770E7A}">
    <text>https://www.lloydsbank.com/business/business-loans.html</text>
    <extLst>
      <x:ext xmlns:xltc2="http://schemas.microsoft.com/office/spreadsheetml/2020/threadedcomments2" uri="{F7C98A9C-CBB3-438F-8F68-D28B6AF4A901}">
        <xltc2:checksum>3088775724</xltc2:checksum>
        <xltc2:hyperlink startIndex="0" length="55" url="https://www.lloydsbank.com/business/business-loans.html"/>
      </x:ext>
    </extLst>
  </threadedComment>
  <threadedComment ref="N31" dT="2025-12-03T11:45:10.92" personId="{33C29E58-9346-4094-92F4-02F620B600A2}" id="{FA90F082-7FEC-4B61-A407-5BF81B76FE19}">
    <text>https://www.business.hsbc.uk/en-gb/products/small-business-loan?utm_</text>
    <extLst>
      <x:ext xmlns:xltc2="http://schemas.microsoft.com/office/spreadsheetml/2020/threadedcomments2" uri="{F7C98A9C-CBB3-438F-8F68-D28B6AF4A901}">
        <xltc2:checksum>207624835</xltc2:checksum>
        <xltc2:hyperlink startIndex="0" length="68" url="https://www.business.hsbc.uk/en-gb/products/small-business-loan?utm_"/>
      </x:ext>
    </extLst>
  </threadedComment>
  <threadedComment ref="D32" dT="2025-11-25T04:20:00.21" personId="{33C29E58-9346-4094-92F4-02F620B600A2}" id="{D151041A-B207-4951-AD28-04B002F982DE}">
    <text>https://www.globalpetrolprices.com/USA/electricity_prices/</text>
    <extLst>
      <x:ext xmlns:xltc2="http://schemas.microsoft.com/office/spreadsheetml/2020/threadedcomments2" uri="{F7C98A9C-CBB3-438F-8F68-D28B6AF4A901}">
        <xltc2:checksum>1961071253</xltc2:checksum>
        <xltc2:hyperlink startIndex="0" length="58" url="https://www.globalpetrolprices.com/USA/electricity_prices/"/>
      </x:ext>
    </extLst>
  </threadedComment>
  <threadedComment ref="E32" dT="2025-11-25T05:16:47.61" personId="{33C29E58-9346-4094-92F4-02F620B600A2}" id="{7D90FFEC-DB50-4641-ABA7-0D69968A94A9}">
    <text>https://www.indeed.com/career/machine-operator/salaries</text>
    <extLst>
      <x:ext xmlns:xltc2="http://schemas.microsoft.com/office/spreadsheetml/2020/threadedcomments2" uri="{F7C98A9C-CBB3-438F-8F68-D28B6AF4A901}">
        <xltc2:checksum>954009554</xltc2:checksum>
        <xltc2:hyperlink startIndex="0" length="55" url="https://www.indeed.com/career/machine-operator/salaries"/>
      </x:ext>
    </extLst>
  </threadedComment>
  <threadedComment ref="F32" dT="2025-11-25T05:16:13.40" personId="{33C29E58-9346-4094-92F4-02F620B600A2}" id="{D2239547-A65A-46E9-87AD-5CE91F2B0F80}">
    <text>https://www.indeed.com/career/manufacturing-engineer/salaries</text>
    <extLst>
      <x:ext xmlns:xltc2="http://schemas.microsoft.com/office/spreadsheetml/2020/threadedcomments2" uri="{F7C98A9C-CBB3-438F-8F68-D28B6AF4A901}">
        <xltc2:checksum>4062268499</xltc2:checksum>
        <xltc2:hyperlink startIndex="0" length="61" url="https://www.indeed.com/career/manufacturing-engineer/salaries"/>
      </x:ext>
    </extLst>
  </threadedComment>
  <threadedComment ref="G32" dT="2025-11-25T05:14:47.07" personId="{33C29E58-9346-4094-92F4-02F620B600A2}" id="{1E3AF400-8BE7-4084-B9E7-95442ACF1CAF}">
    <text>https://www.indeed.com/career/production-manager/salaries</text>
    <extLst>
      <x:ext xmlns:xltc2="http://schemas.microsoft.com/office/spreadsheetml/2020/threadedcomments2" uri="{F7C98A9C-CBB3-438F-8F68-D28B6AF4A901}">
        <xltc2:checksum>1270623244</xltc2:checksum>
        <xltc2:hyperlink startIndex="0" length="57" url="https://www.indeed.com/career/production-manager/salaries"/>
      </x:ext>
    </extLst>
  </threadedComment>
  <threadedComment ref="M32" dT="2025-12-05T05:19:56.16" personId="{33C29E58-9346-4094-92F4-02F620B600A2}" id="{1400BCEF-9BBB-46C8-B506-1039ED8EDA18}">
    <text>https://www.economy.com/united-states/lending-rate</text>
    <extLst>
      <x:ext xmlns:xltc2="http://schemas.microsoft.com/office/spreadsheetml/2020/threadedcomments2" uri="{F7C98A9C-CBB3-438F-8F68-D28B6AF4A901}">
        <xltc2:checksum>535987639</xltc2:checksum>
        <xltc2:hyperlink startIndex="0" length="50" url="https://www.economy.com/united-states/lending-rate"/>
      </x:ext>
    </extLst>
  </threadedComment>
  <threadedComment ref="N32" dT="2025-12-05T05:19:56.16" personId="{33C29E58-9346-4094-92F4-02F620B600A2}" id="{0F039485-49B5-435A-B929-4F20234C8D0A}">
    <text>https://www.economy.com/united-states/lending-rate</text>
    <extLst>
      <x:ext xmlns:xltc2="http://schemas.microsoft.com/office/spreadsheetml/2020/threadedcomments2" uri="{F7C98A9C-CBB3-438F-8F68-D28B6AF4A901}">
        <xltc2:checksum>535987639</xltc2:checksum>
        <xltc2:hyperlink startIndex="0" length="50" url="https://www.economy.com/united-states/lending-rate"/>
      </x:ext>
    </extLst>
  </threadedComment>
  <threadedComment ref="D33" dT="2025-11-24T05:36:06.66" personId="{33C29E58-9346-4094-92F4-02F620B600A2}" id="{45ED86E9-83B7-4B57-9590-6D679B0BC1E2}">
    <text>https://en.evn.com.vn/d/en-US/news/WHOLESALE-ELECTRICITY-TARIFF-Decision-No-1279QD-BCT-dated-9-May-2025-of-Ministry-of-Industry-and-Trade-60-28-260</text>
    <extLst>
      <x:ext xmlns:xltc2="http://schemas.microsoft.com/office/spreadsheetml/2020/threadedcomments2" uri="{F7C98A9C-CBB3-438F-8F68-D28B6AF4A901}">
        <xltc2:checksum>3317685228</xltc2:checksum>
        <xltc2:hyperlink startIndex="0" length="147" url="https://en.evn.com.vn/d/en-US/news/WHOLESALE-ELECTRICITY-TARIFF-Decision-No-1279QD-BCT-dated-9-May-2025-of-Ministry-of-Industry-and-Trade-60-28-260"/>
      </x:ext>
    </extLst>
  </threadedComment>
  <threadedComment ref="E33" dT="2025-11-24T08:49:59.16" personId="{33C29E58-9346-4094-92F4-02F620B600A2}" id="{108F9F19-4D82-431B-9291-1C5DC995B076}">
    <text>https://www.glassdoor.co.in/Salaries/vietnam-machine-operator-salary-SRCH_IL.0,7_IN251_KO8,24.htm?countryRedirect=true</text>
    <extLst>
      <x:ext xmlns:xltc2="http://schemas.microsoft.com/office/spreadsheetml/2020/threadedcomments2" uri="{F7C98A9C-CBB3-438F-8F68-D28B6AF4A901}">
        <xltc2:checksum>2050559957</xltc2:checksum>
        <xltc2:hyperlink startIndex="0" length="118" url="https://www.glassdoor.co.in/Salaries/vietnam-machine-operator-salary-SRCH_IL.0,7_IN251_KO8,24.htm?countryRedirect=true"/>
      </x:ext>
    </extLst>
  </threadedComment>
  <threadedComment ref="F33" dT="2025-11-24T08:48:06.59" personId="{33C29E58-9346-4094-92F4-02F620B600A2}" id="{93CA8AD0-4D9D-4526-9614-A6942881AD91}">
    <text>https://www.glassdoor.co.in/Salaries/ho-chi-minh-vietnam-manufacturing-engineer-salary-SRCH_IL.0,19_IM1746_KO20,42.htm</text>
    <extLst>
      <x:ext xmlns:xltc2="http://schemas.microsoft.com/office/spreadsheetml/2020/threadedcomments2" uri="{F7C98A9C-CBB3-438F-8F68-D28B6AF4A901}">
        <xltc2:checksum>1144868345</xltc2:checksum>
        <xltc2:hyperlink startIndex="0" length="118" url="https://www.glassdoor.co.in/Salaries/ho-chi-minh-vietnam-manufacturing-engineer-salary-SRCH_IL.0,19_IM1746_KO20,42.htm"/>
      </x:ext>
    </extLst>
  </threadedComment>
  <threadedComment ref="G33" dT="2025-11-24T07:10:01.17" personId="{33C29E58-9346-4094-92F4-02F620B600A2}" id="{28B2B2FA-8CEB-41EE-8E68-C979792F229F}">
    <text>https://www.erieri.com/salary/job/manufacturing-manager/vietnam</text>
    <extLst>
      <x:ext xmlns:xltc2="http://schemas.microsoft.com/office/spreadsheetml/2020/threadedcomments2" uri="{F7C98A9C-CBB3-438F-8F68-D28B6AF4A901}">
        <xltc2:checksum>1735629801</xltc2:checksum>
        <xltc2:hyperlink startIndex="0" length="63" url="https://www.erieri.com/salary/job/manufacturing-manager/vietnam"/>
      </x:ext>
    </extLst>
  </threadedComment>
  <threadedComment ref="M33" dT="2025-11-24T05:30:45.43" personId="{33C29E58-9346-4094-92F4-02F620B600A2}" id="{50133EB9-D4EE-4414-B656-45AA851BF9E1}">
    <text>https://www.vietcombank.com.vn/en/Personal/Truy-cap-nhanh/Tin-noi-bat/Articles/2025/04/24/Vay-san-xuat-kinh-doanh</text>
    <extLst>
      <x:ext xmlns:xltc2="http://schemas.microsoft.com/office/spreadsheetml/2020/threadedcomments2" uri="{F7C98A9C-CBB3-438F-8F68-D28B6AF4A901}">
        <xltc2:checksum>1854656679</xltc2:checksum>
        <xltc2:hyperlink startIndex="0" length="113" url="https://www.vietcombank.com.vn/en/Personal/Truy-cap-nhanh/Tin-noi-bat/Articles/2025/04/24/Vay-san-xuat-kinh-doanh"/>
      </x:ext>
    </extLst>
  </threadedComment>
  <threadedComment ref="N33" dT="2025-11-24T12:10:31.30" personId="{33C29E58-9346-4094-92F4-02F620B600A2}" id="{29CEB8DE-0A52-4066-AE72-30ADC70734FD}">
    <text>https://www.vietcombank.com.vn/en/Personal/Truy-cap-nhanh/KHCN---Danh-sach-uu-dai/KHCN---Khach-hang-ca-nhan-vay-von-160000-ty</text>
    <extLst>
      <x:ext xmlns:xltc2="http://schemas.microsoft.com/office/spreadsheetml/2020/threadedcomments2" uri="{F7C98A9C-CBB3-438F-8F68-D28B6AF4A901}">
        <xltc2:checksum>1938416252</xltc2:checksum>
        <xltc2:hyperlink startIndex="0" length="125" url="https://www.vietcombank.com.vn/en/Personal/Truy-cap-nhanh/KHCN---Danh-sach-uu-dai/KHCN---Khach-hang-ca-nhan-vay-von-160000-ty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3D3-38A7-44CD-8393-5067028A6B95}">
  <dimension ref="A1:X52"/>
  <sheetViews>
    <sheetView tabSelected="1" topLeftCell="A7" zoomScale="80" workbookViewId="0">
      <selection activeCell="D12" sqref="D12"/>
    </sheetView>
  </sheetViews>
  <sheetFormatPr defaultRowHeight="14.25"/>
  <cols>
    <col min="1" max="1" width="15.59765625" customWidth="1"/>
    <col min="2" max="2" width="14.6640625" customWidth="1"/>
    <col min="3" max="3" width="9.9296875" customWidth="1"/>
    <col min="4" max="4" width="12.9296875" customWidth="1"/>
    <col min="5" max="5" width="16.86328125" customWidth="1"/>
    <col min="6" max="6" width="18.1328125" customWidth="1"/>
    <col min="7" max="7" width="17.19921875" customWidth="1"/>
    <col min="8" max="9" width="14.73046875" customWidth="1"/>
    <col min="10" max="11" width="12.33203125" bestFit="1" customWidth="1"/>
    <col min="12" max="12" width="12.19921875" customWidth="1"/>
    <col min="13" max="13" width="10.46484375" customWidth="1"/>
    <col min="14" max="14" width="14.46484375" customWidth="1"/>
    <col min="15" max="15" width="14.1328125" customWidth="1"/>
    <col min="16" max="16" width="13.86328125" customWidth="1"/>
  </cols>
  <sheetData>
    <row r="1" spans="1:24" hidden="1">
      <c r="A1" s="1"/>
      <c r="B1" s="1"/>
      <c r="C1" s="1"/>
      <c r="D1" s="25" t="s">
        <v>16</v>
      </c>
      <c r="E1" s="25"/>
      <c r="F1" s="25"/>
      <c r="G1" s="2" t="s">
        <v>17</v>
      </c>
      <c r="H1" s="26" t="s">
        <v>18</v>
      </c>
      <c r="I1" s="26"/>
      <c r="J1" s="26"/>
      <c r="K1" s="26"/>
    </row>
    <row r="2" spans="1:24" ht="42.75" hidden="1">
      <c r="A2" s="3" t="s">
        <v>0</v>
      </c>
      <c r="B2" s="3" t="s">
        <v>19</v>
      </c>
      <c r="C2" s="3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6" t="s">
        <v>25</v>
      </c>
      <c r="I2" s="6"/>
      <c r="J2" s="6" t="s">
        <v>26</v>
      </c>
      <c r="K2" s="6" t="s">
        <v>74</v>
      </c>
      <c r="L2" s="7" t="s">
        <v>75</v>
      </c>
      <c r="M2" s="7" t="s">
        <v>76</v>
      </c>
      <c r="N2" s="7" t="s">
        <v>77</v>
      </c>
    </row>
    <row r="3" spans="1:24" hidden="1">
      <c r="A3" t="s">
        <v>9</v>
      </c>
      <c r="B3" t="s">
        <v>72</v>
      </c>
      <c r="C3" t="s">
        <v>73</v>
      </c>
    </row>
    <row r="4" spans="1:24" hidden="1">
      <c r="A4" t="s">
        <v>54</v>
      </c>
      <c r="B4" t="s">
        <v>55</v>
      </c>
      <c r="C4" t="s">
        <v>56</v>
      </c>
    </row>
    <row r="5" spans="1:24" hidden="1">
      <c r="A5" t="s">
        <v>4</v>
      </c>
      <c r="B5" t="s">
        <v>39</v>
      </c>
      <c r="C5" t="s">
        <v>40</v>
      </c>
    </row>
    <row r="6" spans="1:24" hidden="1">
      <c r="F6" s="9"/>
      <c r="W6" t="s">
        <v>47</v>
      </c>
      <c r="X6">
        <v>15000</v>
      </c>
    </row>
    <row r="7" spans="1:24">
      <c r="F7" s="9"/>
    </row>
    <row r="8" spans="1:24">
      <c r="F8" s="9"/>
    </row>
    <row r="9" spans="1:24">
      <c r="D9" s="10" t="s">
        <v>86</v>
      </c>
      <c r="E9" s="27" t="s">
        <v>79</v>
      </c>
      <c r="F9" s="27"/>
      <c r="G9" s="27"/>
      <c r="J9" s="10" t="s">
        <v>87</v>
      </c>
      <c r="K9" s="10" t="s">
        <v>87</v>
      </c>
      <c r="L9" s="10" t="s">
        <v>87</v>
      </c>
      <c r="W9" t="s">
        <v>78</v>
      </c>
      <c r="X9">
        <v>300</v>
      </c>
    </row>
    <row r="10" spans="1:24" ht="41.25" customHeight="1">
      <c r="A10" s="11" t="s">
        <v>0</v>
      </c>
      <c r="B10" s="11" t="s">
        <v>19</v>
      </c>
      <c r="C10" s="11" t="s">
        <v>20</v>
      </c>
      <c r="D10" s="12" t="s">
        <v>93</v>
      </c>
      <c r="E10" s="12" t="s">
        <v>94</v>
      </c>
      <c r="F10" s="12" t="s">
        <v>95</v>
      </c>
      <c r="G10" s="12" t="s">
        <v>80</v>
      </c>
      <c r="H10" s="11" t="s">
        <v>88</v>
      </c>
      <c r="I10" s="11" t="s">
        <v>89</v>
      </c>
      <c r="J10" s="12" t="s">
        <v>81</v>
      </c>
      <c r="K10" s="12" t="s">
        <v>82</v>
      </c>
      <c r="L10" s="12" t="s">
        <v>83</v>
      </c>
      <c r="M10" s="13" t="s">
        <v>84</v>
      </c>
      <c r="N10" s="13" t="s">
        <v>85</v>
      </c>
      <c r="O10" s="13" t="s">
        <v>26</v>
      </c>
      <c r="P10" s="13" t="s">
        <v>74</v>
      </c>
      <c r="W10">
        <f>X6/X9</f>
        <v>50</v>
      </c>
    </row>
    <row r="11" spans="1:24">
      <c r="A11" s="8" t="s">
        <v>2</v>
      </c>
      <c r="B11" s="8" t="s">
        <v>27</v>
      </c>
      <c r="C11" s="8" t="s">
        <v>28</v>
      </c>
      <c r="D11" s="14">
        <v>129.19999999999999</v>
      </c>
      <c r="E11" s="15">
        <f>600000*12*136%</f>
        <v>9792000</v>
      </c>
      <c r="F11" s="15">
        <f>100000*12*136%</f>
        <v>1632000.0000000002</v>
      </c>
      <c r="G11" s="15">
        <f>800000*12*136%</f>
        <v>13056000.000000002</v>
      </c>
      <c r="H11" s="18">
        <v>0.1</v>
      </c>
      <c r="I11" s="18">
        <v>0.02</v>
      </c>
      <c r="J11" s="15">
        <v>213732.46407162395</v>
      </c>
      <c r="K11" s="15">
        <v>102920.78280077253</v>
      </c>
      <c r="L11" s="15">
        <v>8851.9396696991244</v>
      </c>
      <c r="M11" s="16">
        <v>0.36959999999999998</v>
      </c>
      <c r="N11" s="16">
        <v>0.36959999999999998</v>
      </c>
      <c r="O11" s="14">
        <v>1684.16</v>
      </c>
      <c r="P11" s="14">
        <v>1451.24</v>
      </c>
    </row>
    <row r="12" spans="1:24">
      <c r="A12" s="8" t="s">
        <v>31</v>
      </c>
      <c r="B12" s="8" t="s">
        <v>32</v>
      </c>
      <c r="C12" s="8" t="s">
        <v>33</v>
      </c>
      <c r="D12" s="14">
        <v>12.39</v>
      </c>
      <c r="E12" s="15">
        <v>1521720</v>
      </c>
      <c r="F12" s="15">
        <v>913032</v>
      </c>
      <c r="G12" s="15">
        <v>1445634</v>
      </c>
      <c r="H12" s="18">
        <v>0.1</v>
      </c>
      <c r="I12" s="18">
        <v>0.1</v>
      </c>
      <c r="J12" s="15">
        <v>61.93281281352521</v>
      </c>
      <c r="K12" s="24">
        <v>53821.313240043062</v>
      </c>
      <c r="L12" s="15">
        <v>2531.3957660566916</v>
      </c>
      <c r="M12" s="16">
        <v>0.13</v>
      </c>
      <c r="N12" s="16">
        <v>0.13500000000000001</v>
      </c>
      <c r="O12" s="14">
        <v>142.84</v>
      </c>
      <c r="P12" s="14">
        <v>122.31</v>
      </c>
    </row>
    <row r="13" spans="1:24">
      <c r="A13" s="8" t="s">
        <v>3</v>
      </c>
      <c r="B13" s="8" t="s">
        <v>35</v>
      </c>
      <c r="C13" s="8" t="s">
        <v>36</v>
      </c>
      <c r="D13" s="14">
        <v>0.65700000000000003</v>
      </c>
      <c r="E13" s="15">
        <f>50000*146%</f>
        <v>73000</v>
      </c>
      <c r="F13" s="15">
        <f>12000*12*146%</f>
        <v>210240</v>
      </c>
      <c r="G13" s="15">
        <f>18000*12*146%</f>
        <v>315360</v>
      </c>
      <c r="H13" s="18">
        <v>0.1</v>
      </c>
      <c r="I13" s="18">
        <v>0.04</v>
      </c>
      <c r="J13" s="15">
        <v>2533.6</v>
      </c>
      <c r="K13" s="15">
        <v>14843.75</v>
      </c>
      <c r="L13" s="15">
        <v>161.679</v>
      </c>
      <c r="M13" s="16">
        <v>0.15</v>
      </c>
      <c r="N13" s="16">
        <v>0.15</v>
      </c>
      <c r="O13" s="14">
        <v>6.23</v>
      </c>
      <c r="P13" s="14">
        <v>5.37</v>
      </c>
    </row>
    <row r="14" spans="1:24">
      <c r="A14" s="8" t="s">
        <v>37</v>
      </c>
      <c r="B14" s="8" t="s">
        <v>90</v>
      </c>
      <c r="C14" s="8" t="s">
        <v>38</v>
      </c>
      <c r="D14" s="14">
        <v>0.14399999999999999</v>
      </c>
      <c r="E14" s="15">
        <v>65650</v>
      </c>
      <c r="F14" s="15">
        <v>99737.5</v>
      </c>
      <c r="G14" s="15">
        <v>112362.5</v>
      </c>
      <c r="H14" s="18">
        <v>0.3</v>
      </c>
      <c r="I14" s="18">
        <v>0.1</v>
      </c>
      <c r="J14" s="15">
        <v>356.37370773198637</v>
      </c>
      <c r="K14" s="20">
        <v>4068.3840575096233</v>
      </c>
      <c r="L14" s="15">
        <v>191.71151776103341</v>
      </c>
      <c r="M14" s="16">
        <v>2.5000000000000001E-2</v>
      </c>
      <c r="N14" s="16">
        <v>7.4499999999999997E-2</v>
      </c>
      <c r="O14" s="14">
        <v>1.62</v>
      </c>
      <c r="P14" s="14">
        <v>1.37</v>
      </c>
    </row>
    <row r="15" spans="1:24">
      <c r="A15" s="8" t="s">
        <v>4</v>
      </c>
      <c r="B15" s="8" t="s">
        <v>39</v>
      </c>
      <c r="C15" s="8" t="s">
        <v>40</v>
      </c>
      <c r="D15" s="14">
        <v>0.79400000000000004</v>
      </c>
      <c r="E15" s="15">
        <f>300000*140%</f>
        <v>420000</v>
      </c>
      <c r="F15" s="15">
        <f>300000*140%</f>
        <v>420000</v>
      </c>
      <c r="G15" s="15">
        <f>348000*140%</f>
        <v>487199.99999999994</v>
      </c>
      <c r="H15" s="19">
        <v>0.1</v>
      </c>
      <c r="I15" s="19">
        <v>0.1</v>
      </c>
      <c r="J15" s="15">
        <f>150*O15</f>
        <v>1228.5</v>
      </c>
      <c r="K15" s="15">
        <f>129*O15</f>
        <v>1056.51</v>
      </c>
      <c r="L15" s="15">
        <f>372*O15</f>
        <v>3046.68</v>
      </c>
      <c r="M15" s="16">
        <v>4.9000000000000002E-2</v>
      </c>
      <c r="N15" s="16">
        <v>0.03</v>
      </c>
      <c r="O15" s="14">
        <v>8.19</v>
      </c>
      <c r="P15" s="14">
        <v>7.11</v>
      </c>
    </row>
    <row r="16" spans="1:24">
      <c r="A16" s="8" t="s">
        <v>41</v>
      </c>
      <c r="B16" s="8" t="s">
        <v>92</v>
      </c>
      <c r="C16" s="8" t="s">
        <v>42</v>
      </c>
      <c r="D16" s="14">
        <v>115.84</v>
      </c>
      <c r="E16" s="15">
        <v>8329800.0000000009</v>
      </c>
      <c r="F16" s="15">
        <v>19824924</v>
      </c>
      <c r="G16" s="15">
        <v>45147516</v>
      </c>
      <c r="H16" s="19">
        <v>0.1</v>
      </c>
      <c r="I16" s="19">
        <v>0.1</v>
      </c>
      <c r="J16" s="15">
        <v>68963.186111111107</v>
      </c>
      <c r="K16" s="15">
        <v>404761.94781459845</v>
      </c>
      <c r="L16" s="15">
        <v>3966.336883635654</v>
      </c>
      <c r="M16" s="16">
        <v>7.3300000000000004E-2</v>
      </c>
      <c r="N16" s="16">
        <v>9.5000000000000001E-2</v>
      </c>
      <c r="O16" s="14">
        <v>581.9</v>
      </c>
      <c r="P16" s="14">
        <v>497.53</v>
      </c>
    </row>
    <row r="17" spans="1:16">
      <c r="A17" s="8" t="s">
        <v>12</v>
      </c>
      <c r="B17" s="8" t="s">
        <v>29</v>
      </c>
      <c r="C17" s="8" t="s">
        <v>30</v>
      </c>
      <c r="D17" s="14">
        <v>0.153</v>
      </c>
      <c r="E17" s="15">
        <f>2000*12*145%</f>
        <v>34800</v>
      </c>
      <c r="F17" s="15">
        <f>49000*145%</f>
        <v>71050</v>
      </c>
      <c r="G17" s="15">
        <f>65000*145%</f>
        <v>94250</v>
      </c>
      <c r="H17" s="19">
        <v>0.1</v>
      </c>
      <c r="I17" s="19">
        <v>0.1</v>
      </c>
      <c r="J17" s="15">
        <v>201.2</v>
      </c>
      <c r="K17" s="15">
        <v>1037.4617868675996</v>
      </c>
      <c r="L17" s="15">
        <v>88.7</v>
      </c>
      <c r="M17" s="21">
        <v>3.4500000000000003E-2</v>
      </c>
      <c r="N17" s="21">
        <v>3.4500000000000003E-2</v>
      </c>
      <c r="O17" s="14">
        <v>1</v>
      </c>
      <c r="P17" s="14">
        <v>0.86</v>
      </c>
    </row>
    <row r="18" spans="1:16">
      <c r="A18" s="8" t="s">
        <v>10</v>
      </c>
      <c r="B18" s="8" t="s">
        <v>29</v>
      </c>
      <c r="C18" s="8" t="s">
        <v>30</v>
      </c>
      <c r="D18" s="14">
        <v>0.251</v>
      </c>
      <c r="E18" s="15">
        <f>3000*12*129.7%</f>
        <v>46692</v>
      </c>
      <c r="F18" s="9">
        <f>75000*129.7%</f>
        <v>97275</v>
      </c>
      <c r="G18" s="15">
        <f>85000*129.7%</f>
        <v>110245</v>
      </c>
      <c r="H18" s="19">
        <v>0.1</v>
      </c>
      <c r="I18" s="19">
        <v>0.1</v>
      </c>
      <c r="J18" s="15">
        <v>800</v>
      </c>
      <c r="K18" s="15">
        <v>1292.5052955323799</v>
      </c>
      <c r="L18" s="15">
        <v>50.61</v>
      </c>
      <c r="M18" s="16">
        <v>3.95E-2</v>
      </c>
      <c r="N18" s="16">
        <v>3.95E-2</v>
      </c>
      <c r="O18" s="14">
        <v>1</v>
      </c>
      <c r="P18" s="14">
        <v>0.86</v>
      </c>
    </row>
    <row r="19" spans="1:16">
      <c r="A19" s="8" t="s">
        <v>11</v>
      </c>
      <c r="B19" s="8" t="s">
        <v>44</v>
      </c>
      <c r="C19" s="8" t="s">
        <v>45</v>
      </c>
      <c r="D19" s="14">
        <v>92.17</v>
      </c>
      <c r="E19" s="15">
        <f>373000*12*124.5%</f>
        <v>5572620.0000000009</v>
      </c>
      <c r="F19" s="15">
        <f>900000*12*124.5%</f>
        <v>13446000.000000002</v>
      </c>
      <c r="G19" s="15">
        <f>1380000*12*124.5%</f>
        <v>20617200</v>
      </c>
      <c r="H19" s="18">
        <v>0.02</v>
      </c>
      <c r="I19" s="16">
        <v>0.14499999999999999</v>
      </c>
      <c r="J19" s="15"/>
      <c r="K19" s="15"/>
      <c r="L19" s="15"/>
      <c r="M19" s="16">
        <v>7.4999999999999997E-2</v>
      </c>
      <c r="N19" s="22">
        <v>0.03</v>
      </c>
      <c r="O19" s="14">
        <v>381.2</v>
      </c>
      <c r="P19" s="14">
        <v>328.47</v>
      </c>
    </row>
    <row r="20" spans="1:16">
      <c r="A20" s="8" t="s">
        <v>15</v>
      </c>
      <c r="B20" s="8" t="s">
        <v>46</v>
      </c>
      <c r="C20" s="8" t="s">
        <v>47</v>
      </c>
      <c r="D20" s="15">
        <v>10.72</v>
      </c>
      <c r="E20" s="15">
        <f>240000*126%</f>
        <v>302400</v>
      </c>
      <c r="F20" s="15">
        <f>1000000*126%</f>
        <v>1260000</v>
      </c>
      <c r="G20" s="15">
        <f>1500000*126%</f>
        <v>1890000</v>
      </c>
      <c r="H20" s="18">
        <v>0.15</v>
      </c>
      <c r="I20" s="18">
        <v>0.1</v>
      </c>
      <c r="J20" s="15">
        <v>23519.018667714194</v>
      </c>
      <c r="K20" s="15">
        <v>7000</v>
      </c>
      <c r="L20" s="15">
        <v>2136.331306739994</v>
      </c>
      <c r="M20" s="16">
        <v>0.125</v>
      </c>
      <c r="N20" s="16">
        <v>0.14000000000000001</v>
      </c>
      <c r="O20" s="23">
        <v>104.27</v>
      </c>
      <c r="P20" s="23">
        <v>87</v>
      </c>
    </row>
    <row r="21" spans="1:16">
      <c r="A21" s="8" t="s">
        <v>6</v>
      </c>
      <c r="B21" s="8" t="s">
        <v>48</v>
      </c>
      <c r="C21" s="8" t="s">
        <v>49</v>
      </c>
      <c r="D21" s="15">
        <v>1114.74</v>
      </c>
      <c r="E21" s="15">
        <f>60*10^5*122.2%</f>
        <v>7332000</v>
      </c>
      <c r="F21" s="15">
        <f>1.6*10^7*122.2%</f>
        <v>19552000</v>
      </c>
      <c r="G21" s="15">
        <f>2*10^7*122.2%</f>
        <v>24440000</v>
      </c>
      <c r="H21" s="18">
        <v>0.25</v>
      </c>
      <c r="I21" s="18">
        <v>0.1</v>
      </c>
      <c r="J21" s="15">
        <f>1.7*10^6</f>
        <v>1700000</v>
      </c>
      <c r="K21" s="15">
        <f>5.5*10^6</f>
        <v>5500000</v>
      </c>
      <c r="L21" s="15">
        <v>420000</v>
      </c>
      <c r="M21" s="16">
        <v>0.1</v>
      </c>
      <c r="N21" s="16">
        <v>0.12</v>
      </c>
      <c r="O21" s="14">
        <v>19314.2</v>
      </c>
      <c r="P21" s="14">
        <v>16665.3</v>
      </c>
    </row>
    <row r="22" spans="1:16">
      <c r="A22" s="8" t="s">
        <v>14</v>
      </c>
      <c r="B22" s="8" t="s">
        <v>50</v>
      </c>
      <c r="C22" s="8" t="s">
        <v>51</v>
      </c>
      <c r="D22" s="14">
        <v>3.972</v>
      </c>
      <c r="E22" s="15">
        <f>15000*12*148%</f>
        <v>266400</v>
      </c>
      <c r="F22" s="15">
        <f>41000*12*148%</f>
        <v>728160</v>
      </c>
      <c r="G22" s="15">
        <f>71000*12*148%</f>
        <v>1260960</v>
      </c>
      <c r="H22" s="18">
        <v>0.1</v>
      </c>
      <c r="I22" s="18">
        <v>0.05</v>
      </c>
      <c r="J22" s="15"/>
      <c r="K22" s="15"/>
      <c r="L22" s="15"/>
      <c r="M22" s="16">
        <v>7.2800000000000004E-2</v>
      </c>
      <c r="N22" s="16">
        <v>7.2800000000000004E-2</v>
      </c>
      <c r="O22" s="14">
        <v>21.26</v>
      </c>
      <c r="P22" s="14">
        <v>18.32</v>
      </c>
    </row>
    <row r="23" spans="1:16">
      <c r="A23" s="8" t="s">
        <v>8</v>
      </c>
      <c r="B23" s="8" t="s">
        <v>52</v>
      </c>
      <c r="C23" s="8" t="s">
        <v>53</v>
      </c>
      <c r="D23" s="14">
        <v>41.99</v>
      </c>
      <c r="E23" s="15">
        <f>42000*12*121%</f>
        <v>609840</v>
      </c>
      <c r="F23" s="15">
        <f>32000*12*121%</f>
        <v>464640</v>
      </c>
      <c r="G23" s="15">
        <f>200000*12*121%</f>
        <v>2904000</v>
      </c>
      <c r="H23" s="18">
        <v>0.15</v>
      </c>
      <c r="I23" s="18">
        <v>0.1</v>
      </c>
      <c r="J23" s="15">
        <v>47253.056709047843</v>
      </c>
      <c r="K23" s="15">
        <v>135336.58688233403</v>
      </c>
      <c r="L23" s="15">
        <v>535.56815267225977</v>
      </c>
      <c r="M23" s="16">
        <v>0.18</v>
      </c>
      <c r="N23" s="16">
        <v>0.09</v>
      </c>
      <c r="O23" s="14">
        <v>328.52</v>
      </c>
      <c r="P23" s="14">
        <v>282.99</v>
      </c>
    </row>
    <row r="24" spans="1:16">
      <c r="A24" s="8" t="s">
        <v>54</v>
      </c>
      <c r="B24" s="8" t="s">
        <v>55</v>
      </c>
      <c r="C24" s="8" t="s">
        <v>56</v>
      </c>
      <c r="D24" s="14">
        <v>8.8469999999999995</v>
      </c>
      <c r="E24" s="15">
        <f>192000*126.5%</f>
        <v>242879.99999999997</v>
      </c>
      <c r="F24" s="15">
        <f>374285*126.5%</f>
        <v>473470.52499999997</v>
      </c>
      <c r="G24" s="15">
        <f>425429*126.5%</f>
        <v>538167.68499999994</v>
      </c>
      <c r="H24" s="19">
        <v>0.1</v>
      </c>
      <c r="I24" s="19">
        <v>0.1</v>
      </c>
      <c r="J24" s="15">
        <v>16240</v>
      </c>
      <c r="K24" s="15">
        <v>20000</v>
      </c>
      <c r="L24" s="15">
        <v>3240</v>
      </c>
      <c r="M24" s="16">
        <v>0.1</v>
      </c>
      <c r="N24" s="16">
        <v>8.6300000000000002E-2</v>
      </c>
      <c r="O24" s="14">
        <v>67.87</v>
      </c>
      <c r="P24" s="14">
        <v>58.89</v>
      </c>
    </row>
    <row r="25" spans="1:16">
      <c r="A25" s="8" t="s">
        <v>57</v>
      </c>
      <c r="B25" s="8" t="s">
        <v>91</v>
      </c>
      <c r="C25" s="8" t="s">
        <v>58</v>
      </c>
      <c r="D25" s="14">
        <v>0.82899999999999996</v>
      </c>
      <c r="E25" s="15">
        <v>83388</v>
      </c>
      <c r="F25" s="15">
        <v>133420.79999999999</v>
      </c>
      <c r="G25" s="15">
        <v>266841.59999999998</v>
      </c>
      <c r="H25" s="19">
        <v>0.2</v>
      </c>
      <c r="I25" s="19">
        <v>0.1</v>
      </c>
      <c r="J25" s="15">
        <v>400</v>
      </c>
      <c r="K25" s="15">
        <v>3621.4</v>
      </c>
      <c r="L25" s="15">
        <v>362</v>
      </c>
      <c r="M25" s="16">
        <v>0.04</v>
      </c>
      <c r="N25" s="16">
        <v>7.0999999999999994E-2</v>
      </c>
      <c r="O25" s="14">
        <v>4.21</v>
      </c>
      <c r="P25" s="14">
        <v>3.6</v>
      </c>
    </row>
    <row r="26" spans="1:16">
      <c r="A26" s="8" t="s">
        <v>61</v>
      </c>
      <c r="B26" s="8" t="s">
        <v>29</v>
      </c>
      <c r="C26" s="8" t="s">
        <v>30</v>
      </c>
      <c r="D26" s="14">
        <v>0.126</v>
      </c>
      <c r="E26" s="15">
        <v>55960</v>
      </c>
      <c r="F26" s="15">
        <v>67152</v>
      </c>
      <c r="G26" s="15">
        <v>76945</v>
      </c>
      <c r="H26" s="19">
        <v>0.1</v>
      </c>
      <c r="I26" s="19">
        <v>0.03</v>
      </c>
      <c r="J26" s="15">
        <v>135.4</v>
      </c>
      <c r="K26" s="15">
        <v>999.6</v>
      </c>
      <c r="L26" s="15">
        <v>53.5</v>
      </c>
      <c r="M26" s="16">
        <v>2.1499999999999998E-2</v>
      </c>
      <c r="N26" s="16">
        <v>3.2000000000000001E-2</v>
      </c>
      <c r="O26" s="14">
        <v>1</v>
      </c>
      <c r="P26" s="14">
        <v>0.86</v>
      </c>
    </row>
    <row r="27" spans="1:16">
      <c r="A27" s="8" t="s">
        <v>13</v>
      </c>
      <c r="B27" s="8" t="s">
        <v>59</v>
      </c>
      <c r="C27" s="8" t="s">
        <v>60</v>
      </c>
      <c r="D27" s="14">
        <v>1.7949999999999999</v>
      </c>
      <c r="E27" s="15">
        <f>15000*12*128.81%</f>
        <v>231858</v>
      </c>
      <c r="F27" s="15">
        <f>32000*12*128.81%</f>
        <v>494630.40000000002</v>
      </c>
      <c r="G27" s="15">
        <f>50000*12*128.81%</f>
        <v>772860</v>
      </c>
      <c r="H27" s="18">
        <v>0.2</v>
      </c>
      <c r="I27" s="18">
        <v>0.05</v>
      </c>
      <c r="J27" s="15">
        <v>438.40288000436396</v>
      </c>
      <c r="K27" s="15">
        <v>8823.2688827985621</v>
      </c>
      <c r="L27" s="15">
        <v>826.9965156794425</v>
      </c>
      <c r="M27" s="16">
        <v>0.10249999999999999</v>
      </c>
      <c r="N27" s="16">
        <v>0.27500000000000002</v>
      </c>
      <c r="O27" s="14">
        <v>19.88</v>
      </c>
      <c r="P27" s="14">
        <v>17.13</v>
      </c>
    </row>
    <row r="28" spans="1:16">
      <c r="A28" s="8" t="s">
        <v>62</v>
      </c>
      <c r="B28" s="8" t="s">
        <v>63</v>
      </c>
      <c r="C28" s="8" t="s">
        <v>64</v>
      </c>
      <c r="D28" s="14">
        <v>16.59</v>
      </c>
      <c r="E28" s="15">
        <v>1060800</v>
      </c>
      <c r="F28" s="15">
        <v>1560000</v>
      </c>
      <c r="G28" s="15">
        <v>4680000</v>
      </c>
      <c r="H28" s="18">
        <v>0.125</v>
      </c>
      <c r="I28" s="18">
        <v>6.6699999999999995E-2</v>
      </c>
      <c r="J28" s="15">
        <v>15815.261925448833</v>
      </c>
      <c r="K28" s="15">
        <v>62230.893433799793</v>
      </c>
      <c r="L28" s="15">
        <v>7131.3240043057058</v>
      </c>
      <c r="M28" s="16">
        <v>0.14000000000000001</v>
      </c>
      <c r="N28" s="16">
        <v>0.18</v>
      </c>
      <c r="O28" s="14">
        <v>362.96</v>
      </c>
      <c r="P28" s="14">
        <v>310.33999999999997</v>
      </c>
    </row>
    <row r="29" spans="1:16">
      <c r="A29" s="8" t="s">
        <v>65</v>
      </c>
      <c r="B29" s="8" t="s">
        <v>66</v>
      </c>
      <c r="C29" s="8" t="s">
        <v>67</v>
      </c>
      <c r="D29" s="14">
        <v>4.0860000000000003</v>
      </c>
      <c r="E29" s="15">
        <v>303544.8</v>
      </c>
      <c r="F29" s="15">
        <v>327600</v>
      </c>
      <c r="G29" s="15">
        <v>1404000</v>
      </c>
      <c r="H29" s="18">
        <v>0.2</v>
      </c>
      <c r="I29" s="18">
        <v>0.05</v>
      </c>
      <c r="J29" s="15">
        <v>4546.8722797697719</v>
      </c>
      <c r="K29" s="15">
        <v>22447.269593241523</v>
      </c>
      <c r="L29" s="15">
        <v>2677.3534329372064</v>
      </c>
      <c r="M29" s="16">
        <v>0.1268</v>
      </c>
      <c r="N29" s="16">
        <v>0.1268</v>
      </c>
      <c r="O29" s="14">
        <v>36.6</v>
      </c>
      <c r="P29" s="14">
        <v>31.31</v>
      </c>
    </row>
    <row r="30" spans="1:16">
      <c r="A30" s="8" t="s">
        <v>7</v>
      </c>
      <c r="B30" s="8" t="s">
        <v>68</v>
      </c>
      <c r="C30" s="8" t="s">
        <v>69</v>
      </c>
      <c r="D30" s="14">
        <v>4.3499999999999996</v>
      </c>
      <c r="E30" s="15">
        <f>18000*12*130.5%</f>
        <v>281880</v>
      </c>
      <c r="F30" s="15">
        <f>35000*12*130.5%</f>
        <v>548100</v>
      </c>
      <c r="G30" s="15">
        <f>34000*12*130.5%</f>
        <v>532440</v>
      </c>
      <c r="H30" s="19">
        <v>0.1</v>
      </c>
      <c r="I30" s="19">
        <v>0.1</v>
      </c>
      <c r="J30" s="15">
        <v>9524.9372878057839</v>
      </c>
      <c r="K30" s="15">
        <v>54736.316087138031</v>
      </c>
      <c r="L30" s="15">
        <v>459.0625</v>
      </c>
      <c r="M30" s="16">
        <v>0.42499999999999999</v>
      </c>
      <c r="N30" s="16">
        <v>0.39500000000000002</v>
      </c>
      <c r="O30" s="14">
        <v>49.29</v>
      </c>
      <c r="P30" s="14">
        <v>42.43</v>
      </c>
    </row>
    <row r="31" spans="1:16">
      <c r="A31" s="8" t="s">
        <v>1</v>
      </c>
      <c r="B31" s="8" t="s">
        <v>70</v>
      </c>
      <c r="C31" s="8" t="s">
        <v>71</v>
      </c>
      <c r="D31" s="14">
        <v>0.34599999999999997</v>
      </c>
      <c r="E31" s="17">
        <f>30000*133%</f>
        <v>39900</v>
      </c>
      <c r="F31" s="17">
        <f>43000*133%</f>
        <v>57190</v>
      </c>
      <c r="G31" s="17">
        <f>50000*133%</f>
        <v>66500</v>
      </c>
      <c r="H31" s="18">
        <v>0.18</v>
      </c>
      <c r="I31" s="18">
        <v>0.03</v>
      </c>
      <c r="J31" s="15">
        <v>148.20009226851852</v>
      </c>
      <c r="K31" s="15">
        <v>1308.8805166846073</v>
      </c>
      <c r="L31" s="15">
        <v>150.02691065662003</v>
      </c>
      <c r="M31" s="16">
        <v>0.112</v>
      </c>
      <c r="N31" s="16">
        <v>0.113</v>
      </c>
      <c r="O31" s="14">
        <v>0.88</v>
      </c>
      <c r="P31" s="14">
        <v>0.76</v>
      </c>
    </row>
    <row r="32" spans="1:16">
      <c r="A32" s="8" t="s">
        <v>5</v>
      </c>
      <c r="B32" s="8" t="s">
        <v>34</v>
      </c>
      <c r="C32" s="8" t="s">
        <v>43</v>
      </c>
      <c r="D32" s="14">
        <v>0.14899999999999999</v>
      </c>
      <c r="E32" s="17">
        <f>70179*140%</f>
        <v>98250.599999999991</v>
      </c>
      <c r="F32" s="17">
        <f>93567*140%</f>
        <v>130993.79999999999</v>
      </c>
      <c r="G32" s="17">
        <f>83661*140%</f>
        <v>117125.4</v>
      </c>
      <c r="H32" s="19">
        <v>0.1</v>
      </c>
      <c r="I32" s="19">
        <v>0.1</v>
      </c>
      <c r="J32" s="15">
        <v>32.921521750474255</v>
      </c>
      <c r="K32" s="15">
        <v>2485.6566200215289</v>
      </c>
      <c r="L32" s="15">
        <v>187.13670613562971</v>
      </c>
      <c r="M32" s="16">
        <v>3.8899999999999997E-2</v>
      </c>
      <c r="N32" s="16">
        <v>3.6400000000000002E-2</v>
      </c>
      <c r="O32" s="14">
        <v>1.1599999999999999</v>
      </c>
      <c r="P32" s="14">
        <v>1</v>
      </c>
    </row>
    <row r="33" spans="1:16">
      <c r="A33" s="8" t="s">
        <v>9</v>
      </c>
      <c r="B33" s="8" t="s">
        <v>72</v>
      </c>
      <c r="C33" s="8" t="s">
        <v>73</v>
      </c>
      <c r="D33" s="15">
        <v>1744</v>
      </c>
      <c r="E33" s="15">
        <f>105600000*132.5%</f>
        <v>139920000</v>
      </c>
      <c r="F33" s="15">
        <f>624273326*132.5%</f>
        <v>827162156.94999993</v>
      </c>
      <c r="G33" s="15">
        <f>695648877*132.5%</f>
        <v>921734762.02499998</v>
      </c>
      <c r="H33" s="19">
        <v>0.1</v>
      </c>
      <c r="I33" s="19">
        <v>0.1</v>
      </c>
      <c r="J33" s="15">
        <f>118*O33</f>
        <v>3586051.86</v>
      </c>
      <c r="K33" s="15">
        <f>112*O33</f>
        <v>3403710.24</v>
      </c>
      <c r="L33" s="15">
        <f>180*O33</f>
        <v>5470248.5999999996</v>
      </c>
      <c r="M33" s="16">
        <v>5.8999999999999997E-2</v>
      </c>
      <c r="N33" s="16">
        <v>6.2E-2</v>
      </c>
      <c r="O33" s="23">
        <v>30390.27</v>
      </c>
      <c r="P33" s="23">
        <v>26369</v>
      </c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5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</sheetData>
  <sortState xmlns:xlrd2="http://schemas.microsoft.com/office/spreadsheetml/2017/richdata2" ref="A11:A33">
    <sortCondition ref="A11:A33"/>
  </sortState>
  <mergeCells count="3">
    <mergeCell ref="D1:F1"/>
    <mergeCell ref="H1:K1"/>
    <mergeCell ref="E9:G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</dc:creator>
  <cp:lastModifiedBy>Naman Mishra</cp:lastModifiedBy>
  <dcterms:created xsi:type="dcterms:W3CDTF">2015-06-05T18:17:20Z</dcterms:created>
  <dcterms:modified xsi:type="dcterms:W3CDTF">2026-02-01T11:30:07Z</dcterms:modified>
</cp:coreProperties>
</file>